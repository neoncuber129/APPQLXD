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ĂNG DẦU\Chuẩn\3 SỔ\"/>
    </mc:Choice>
  </mc:AlternateContent>
  <xr:revisionPtr revIDLastSave="0" documentId="13_ncr:1_{D44302E7-D1A4-4E6D-AECB-EE61BA9E87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hập Xăng Dầu" sheetId="3" r:id="rId1"/>
    <sheet name="Xuất Xăng Dầu" sheetId="1" r:id="rId2"/>
    <sheet name="Xuất thủ công" sheetId="10" r:id="rId3"/>
    <sheet name="Nhập PTKT VTXD" sheetId="4" r:id="rId4"/>
  </sheets>
  <externalReferences>
    <externalReference r:id="rId5"/>
  </externalReferences>
  <definedNames>
    <definedName name="_xlnm.Print_Area" localSheetId="0">'Nhập Xăng Dầu'!$A$1:$K$30</definedName>
    <definedName name="_xlnm.Print_Area" localSheetId="2">'Xuất thủ công'!$A$1:$K$31</definedName>
    <definedName name="_xlnm.Print_Area" localSheetId="1">'Xuất Xăng Dầu'!$A$1:$K$30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J16" i="1"/>
  <c r="I15" i="1"/>
  <c r="I16" i="1"/>
  <c r="I17" i="1" l="1"/>
  <c r="J17" i="1"/>
  <c r="H16" i="1"/>
  <c r="I18" i="1" l="1"/>
  <c r="C14" i="1" l="1"/>
  <c r="J14" i="1" s="1"/>
  <c r="F15" i="1"/>
  <c r="F16" i="1"/>
  <c r="F17" i="1"/>
  <c r="J18" i="1"/>
  <c r="F18" i="1"/>
  <c r="H18" i="1"/>
  <c r="G18" i="1"/>
  <c r="J16" i="3"/>
  <c r="J17" i="3"/>
  <c r="G14" i="3"/>
  <c r="G15" i="3"/>
  <c r="G16" i="3"/>
  <c r="G17" i="3"/>
  <c r="H14" i="3"/>
  <c r="H15" i="3"/>
  <c r="H16" i="3"/>
  <c r="H17" i="3"/>
  <c r="H13" i="3"/>
  <c r="G13" i="3"/>
  <c r="F14" i="3"/>
  <c r="F15" i="3"/>
  <c r="F16" i="3"/>
  <c r="F17" i="3"/>
  <c r="F13" i="3"/>
  <c r="G17" i="1" l="1"/>
  <c r="H17" i="1"/>
  <c r="G16" i="1"/>
  <c r="G15" i="1"/>
  <c r="H15" i="1"/>
  <c r="E13" i="3" l="1"/>
  <c r="J14" i="3"/>
  <c r="J15" i="3"/>
  <c r="E14" i="3" l="1"/>
  <c r="E15" i="3"/>
  <c r="E16" i="3"/>
  <c r="E17" i="3"/>
  <c r="F14" i="1" l="1"/>
  <c r="H14" i="1"/>
  <c r="G14" i="1"/>
  <c r="A14" i="1"/>
  <c r="J13" i="3" l="1"/>
  <c r="I18" i="10" l="1"/>
  <c r="G15" i="10"/>
  <c r="H15" i="10"/>
  <c r="G16" i="10"/>
  <c r="H16" i="10"/>
  <c r="G17" i="10"/>
  <c r="H17" i="10"/>
  <c r="E17" i="10" l="1"/>
  <c r="E15" i="10"/>
  <c r="E16" i="10"/>
  <c r="J18" i="10" l="1"/>
  <c r="A31" i="10"/>
  <c r="C14" i="10"/>
  <c r="A30" i="1" l="1"/>
  <c r="K18" i="10" l="1"/>
  <c r="E18" i="10"/>
  <c r="D18" i="10"/>
  <c r="A18" i="10"/>
  <c r="D17" i="10"/>
  <c r="D16" i="10"/>
  <c r="D15" i="10"/>
  <c r="G14" i="10"/>
  <c r="M3" i="10"/>
  <c r="A17" i="10" l="1"/>
  <c r="K17" i="10"/>
  <c r="A16" i="10"/>
  <c r="K16" i="10"/>
  <c r="A14" i="10"/>
  <c r="H14" i="10"/>
  <c r="E14" i="10" s="1"/>
  <c r="A15" i="10"/>
  <c r="K14" i="10"/>
  <c r="A21" i="10" l="1"/>
  <c r="K15" i="10"/>
  <c r="K19" i="10" s="1"/>
  <c r="I19" i="10"/>
  <c r="E21" i="10" s="1"/>
  <c r="A22" i="10"/>
  <c r="M3" i="1" l="1"/>
  <c r="I14" i="1" s="1"/>
  <c r="E18" i="1" l="1"/>
  <c r="E14" i="1"/>
  <c r="K16" i="1"/>
  <c r="E17" i="1"/>
  <c r="K15" i="1"/>
  <c r="E15" i="1"/>
  <c r="A16" i="3"/>
  <c r="A17" i="3"/>
  <c r="K14" i="1" l="1"/>
  <c r="E16" i="1"/>
  <c r="E18" i="3"/>
  <c r="I46" i="4" l="1"/>
  <c r="I50" i="4" s="1"/>
  <c r="I18" i="4"/>
  <c r="I17" i="4"/>
  <c r="I16" i="4"/>
  <c r="I15" i="4"/>
  <c r="I14" i="4"/>
  <c r="I13" i="4"/>
  <c r="A15" i="3"/>
  <c r="K18" i="3"/>
  <c r="A14" i="3"/>
  <c r="A13" i="3"/>
  <c r="A21" i="3"/>
  <c r="I19" i="4" l="1"/>
  <c r="A20" i="3"/>
  <c r="K17" i="1" l="1"/>
  <c r="K18" i="1"/>
  <c r="D16" i="1"/>
  <c r="D17" i="1"/>
  <c r="D18" i="1"/>
  <c r="D15" i="1"/>
  <c r="A17" i="1"/>
  <c r="A18" i="1"/>
  <c r="A15" i="1" l="1"/>
  <c r="A16" i="1"/>
  <c r="A21" i="1" l="1"/>
  <c r="K19" i="1"/>
  <c r="A22" i="1"/>
  <c r="I19" i="1" l="1"/>
  <c r="E21" i="1" l="1"/>
  <c r="I18" i="3"/>
  <c r="E20" i="3" s="1"/>
</calcChain>
</file>

<file path=xl/sharedStrings.xml><?xml version="1.0" encoding="utf-8"?>
<sst xmlns="http://schemas.openxmlformats.org/spreadsheetml/2006/main" count="543" uniqueCount="239">
  <si>
    <t>PHIẾU XUẤT XĂNG DẦU</t>
  </si>
  <si>
    <t xml:space="preserve">Có giá đến ngày: </t>
  </si>
  <si>
    <t>Đơn vị vận chuyển:</t>
  </si>
  <si>
    <t>Dung tích kiểm định:</t>
  </si>
  <si>
    <t>Dung tích nhận hàng:</t>
  </si>
  <si>
    <t>Giấy giới thiệu và CMT:</t>
  </si>
  <si>
    <t>Số lượng bao bì:</t>
  </si>
  <si>
    <t>TT</t>
  </si>
  <si>
    <t>Mã số</t>
  </si>
  <si>
    <t>Tên xăng dầu</t>
  </si>
  <si>
    <t>Chất lượng</t>
  </si>
  <si>
    <t>Số lượng</t>
  </si>
  <si>
    <t>Thành tiền</t>
  </si>
  <si>
    <t>Xuất</t>
  </si>
  <si>
    <t>Nhiệt độ</t>
  </si>
  <si>
    <t>Tỉ trọng</t>
  </si>
  <si>
    <t>Hệ số</t>
  </si>
  <si>
    <t>VCF</t>
  </si>
  <si>
    <t>Thực xuất</t>
  </si>
  <si>
    <t>Số 1-03/XD-14</t>
  </si>
  <si>
    <t>Cộng</t>
  </si>
  <si>
    <t xml:space="preserve">Số     </t>
  </si>
  <si>
    <t xml:space="preserve">Ngày   </t>
  </si>
  <si>
    <t xml:space="preserve">    </t>
  </si>
  <si>
    <t>BỘ ĐỘI BIÊN PHÒNG</t>
  </si>
  <si>
    <t>Nguyễn Đình Quân</t>
  </si>
  <si>
    <t>Nguyễn Văn Nhâm</t>
  </si>
  <si>
    <t>HẢI ĐOÀN BIÊN PHÒNG 18</t>
  </si>
  <si>
    <t>Đơn giá 
(Đồng)</t>
  </si>
  <si>
    <t>thực tế</t>
  </si>
  <si>
    <t xml:space="preserve">NGƯỜI NHẬN          NGƯỜI GIAO               TÀI CHÍNH           NGƯỜI VIẾT PHIẾU     TRƯỞNG BAN HC-KT     CHỈ HUY ĐƠN VỊ   </t>
  </si>
  <si>
    <t>Dầu DO 0,05S</t>
  </si>
  <si>
    <t>U1CN Trần Lý Vĩ</t>
  </si>
  <si>
    <t>Shell Omala G100</t>
  </si>
  <si>
    <t>Xăng RON 92</t>
  </si>
  <si>
    <t>Theo lệnh (KH):</t>
  </si>
  <si>
    <t>Phục vụ chỉ huy (CH)</t>
  </si>
  <si>
    <t>Liên hệ công tác (TM)</t>
  </si>
  <si>
    <t>Liên hệ công tác (CT)</t>
  </si>
  <si>
    <t>Liên hệ công tác (HC)</t>
  </si>
  <si>
    <t>Liên hệ công tác (KT)</t>
  </si>
  <si>
    <t>Phục vụ chỉ huy (CT)</t>
  </si>
  <si>
    <t>Phục vụ chỉ huy (HC)</t>
  </si>
  <si>
    <t>Liên hệ công tác (TS)</t>
  </si>
  <si>
    <t>Cấp Biên đội</t>
  </si>
  <si>
    <t>Cấp tàu 19-01</t>
  </si>
  <si>
    <t>Cấp tàu 01-01</t>
  </si>
  <si>
    <t>Cấp tàu 01-02</t>
  </si>
  <si>
    <t>Cấp tàu 01-03</t>
  </si>
  <si>
    <t>Cấp tàu 01-04</t>
  </si>
  <si>
    <t>Cấp tàu 01-05</t>
  </si>
  <si>
    <t>Cấp tàu 01-06</t>
  </si>
  <si>
    <t>Cấp tàu 01-07</t>
  </si>
  <si>
    <t>Cấp tàu 05-01</t>
  </si>
  <si>
    <t>Cấp tàu 05-02</t>
  </si>
  <si>
    <t>Cấp tàu 05-03</t>
  </si>
  <si>
    <t>Cấp tàu 06-01</t>
  </si>
  <si>
    <t>Cấp tàu 06-02</t>
  </si>
  <si>
    <t>Cấp tàu 08-01</t>
  </si>
  <si>
    <t>Trần Ngọc Thạch</t>
  </si>
  <si>
    <t>QB 34-75</t>
  </si>
  <si>
    <t>QB 27-90</t>
  </si>
  <si>
    <t>QB 20-95</t>
  </si>
  <si>
    <t>QB 13-99</t>
  </si>
  <si>
    <t>QB 40-22</t>
  </si>
  <si>
    <t>QB 40-48</t>
  </si>
  <si>
    <t>QB 35-88</t>
  </si>
  <si>
    <t>QB 40-42</t>
  </si>
  <si>
    <t>QB 28-85</t>
  </si>
  <si>
    <t>QB 38-09</t>
  </si>
  <si>
    <t>Máy xăng</t>
  </si>
  <si>
    <t>Máy dầu</t>
  </si>
  <si>
    <t>Nổ máy QY</t>
  </si>
  <si>
    <t>PT</t>
  </si>
  <si>
    <t>NL</t>
  </si>
  <si>
    <t>GIÁ</t>
  </si>
  <si>
    <t>NGƯỜI NHẬN</t>
  </si>
  <si>
    <t>TÍNH CHẤT XUẤT</t>
  </si>
  <si>
    <t>MiLPC 01</t>
  </si>
  <si>
    <t xml:space="preserve">MiLPC 04 </t>
  </si>
  <si>
    <t>Rimula R4X</t>
  </si>
  <si>
    <t>Mobil Gard</t>
  </si>
  <si>
    <t>Niwa HG32(PC05)</t>
  </si>
  <si>
    <t>Fluid DOT 3</t>
  </si>
  <si>
    <t>Opal</t>
  </si>
  <si>
    <t>Grease GL3</t>
  </si>
  <si>
    <t>PP 95/5</t>
  </si>
  <si>
    <t>Solidol</t>
  </si>
  <si>
    <t>M1-13</t>
  </si>
  <si>
    <t xml:space="preserve">Người nhận      : </t>
  </si>
  <si>
    <t>Tính chất xuất  :</t>
  </si>
  <si>
    <t>Đơn vị giao      :</t>
  </si>
  <si>
    <t>Kho Hải đoàn Biên phòng 18</t>
  </si>
  <si>
    <t>Đơn vị nhận     :</t>
  </si>
  <si>
    <t>Mai Văn Tùng</t>
  </si>
  <si>
    <t>Nổ máy DT</t>
  </si>
  <si>
    <t>Vũ Tiến Thành</t>
  </si>
  <si>
    <t>Nổ máy TT</t>
  </si>
  <si>
    <t>Nguyễn Văn Sáng</t>
  </si>
  <si>
    <t>Bảo dưỡng kỹ thuật</t>
  </si>
  <si>
    <t>Trương Xuân Dụng</t>
  </si>
  <si>
    <t>Hao hụt định mức</t>
  </si>
  <si>
    <t xml:space="preserve">Nguyễn Thế Nam </t>
  </si>
  <si>
    <t>Nguyễn Bá Ngọc</t>
  </si>
  <si>
    <t>Nguyễn Bảo Hà</t>
  </si>
  <si>
    <t>Phan Anh Minh</t>
  </si>
  <si>
    <t>Nguyễn Huy Hoàng</t>
  </si>
  <si>
    <t>Phạm Kim Lịch</t>
  </si>
  <si>
    <t>Đỗ Văn Hải</t>
  </si>
  <si>
    <t>Trương Đình Vũ</t>
  </si>
  <si>
    <t>Bùi Phước Luýt</t>
  </si>
  <si>
    <t>Nguyễn Thành Trung</t>
  </si>
  <si>
    <t>Nguyễn Thái Học</t>
  </si>
  <si>
    <t>Nguyễn Văn Kiên</t>
  </si>
  <si>
    <t>Đinh Bạt Anh</t>
  </si>
  <si>
    <t>Ghi chú:…………………………………………………………………………………………..……………………………………………...</t>
  </si>
  <si>
    <t>Lít/100km</t>
  </si>
  <si>
    <t>Nguyễn Công Hiển</t>
  </si>
  <si>
    <t>Bùi Văn Sơn</t>
  </si>
  <si>
    <t>Bùi Văn Long</t>
  </si>
  <si>
    <t>Nổ máy CY</t>
  </si>
  <si>
    <t>Đoàn Văn Hùng</t>
  </si>
  <si>
    <t>Số xe/km:</t>
  </si>
  <si>
    <t xml:space="preserve">Trần Văn Thanh   </t>
  </si>
  <si>
    <t>MiLPC 03</t>
  </si>
  <si>
    <t>Cưa cây, cắt cỏ</t>
  </si>
  <si>
    <r>
      <t>(Lít t</t>
    </r>
    <r>
      <rPr>
        <vertAlign val="superscript"/>
        <sz val="13"/>
        <color theme="1"/>
        <rFont val="Times New Roman"/>
        <family val="1"/>
        <charset val="163"/>
      </rPr>
      <t>0</t>
    </r>
    <r>
      <rPr>
        <sz val="13"/>
        <color theme="1"/>
        <rFont val="Times New Roman"/>
        <family val="1"/>
        <charset val="163"/>
      </rPr>
      <t>TT, kg)</t>
    </r>
  </si>
  <si>
    <r>
      <t>15</t>
    </r>
    <r>
      <rPr>
        <vertAlign val="superscript"/>
        <sz val="13"/>
        <color theme="1"/>
        <rFont val="Times New Roman"/>
        <family val="1"/>
        <charset val="163"/>
      </rPr>
      <t>0</t>
    </r>
    <r>
      <rPr>
        <sz val="13"/>
        <color theme="1"/>
        <rFont val="Times New Roman"/>
        <family val="1"/>
        <charset val="163"/>
      </rPr>
      <t>C</t>
    </r>
  </si>
  <si>
    <r>
      <t>(Lít 15</t>
    </r>
    <r>
      <rPr>
        <vertAlign val="superscript"/>
        <sz val="13"/>
        <color theme="1"/>
        <rFont val="Times New Roman"/>
        <family val="1"/>
        <charset val="163"/>
      </rPr>
      <t>0</t>
    </r>
    <r>
      <rPr>
        <sz val="13"/>
        <color theme="1"/>
        <rFont val="Times New Roman"/>
        <family val="1"/>
        <charset val="163"/>
      </rPr>
      <t>C, kg)</t>
    </r>
  </si>
  <si>
    <t>Tồn</t>
  </si>
  <si>
    <t>Số 1-02/XD-14</t>
  </si>
  <si>
    <t>PHIẾU NHẬP XĂNG DẦU</t>
  </si>
  <si>
    <t>Đơn vị nhận hàng: Kho Hải đoàn Biên phòng 18</t>
  </si>
  <si>
    <t>Người giao hàng:</t>
  </si>
  <si>
    <t>Số xe:</t>
  </si>
  <si>
    <t>Nhập</t>
  </si>
  <si>
    <t>Thực nhập</t>
  </si>
  <si>
    <r>
      <t>(Lít, t</t>
    </r>
    <r>
      <rPr>
        <vertAlign val="superscript"/>
        <sz val="13"/>
        <color theme="1"/>
        <rFont val="Times New Roman"/>
        <family val="1"/>
      </rPr>
      <t>0</t>
    </r>
    <r>
      <rPr>
        <sz val="13"/>
        <color theme="1"/>
        <rFont val="Times New Roman"/>
        <family val="1"/>
      </rPr>
      <t>TT, kg)</t>
    </r>
  </si>
  <si>
    <r>
      <t>15</t>
    </r>
    <r>
      <rPr>
        <vertAlign val="superscript"/>
        <sz val="13"/>
        <color theme="1"/>
        <rFont val="Times New Roman"/>
        <family val="1"/>
      </rPr>
      <t>0</t>
    </r>
    <r>
      <rPr>
        <sz val="13"/>
        <color theme="1"/>
        <rFont val="Times New Roman"/>
        <family val="1"/>
      </rPr>
      <t>C</t>
    </r>
  </si>
  <si>
    <r>
      <t>(Lít 15</t>
    </r>
    <r>
      <rPr>
        <vertAlign val="superscript"/>
        <sz val="13"/>
        <color theme="1"/>
        <rFont val="Times New Roman"/>
        <family val="1"/>
      </rPr>
      <t>0</t>
    </r>
    <r>
      <rPr>
        <sz val="13"/>
        <color theme="1"/>
        <rFont val="Times New Roman"/>
        <family val="1"/>
      </rPr>
      <t>C, kg)</t>
    </r>
  </si>
  <si>
    <t>Ghi chú:……………………………………………………………………………………………………………………………………………………..…………………………………………............................</t>
  </si>
  <si>
    <t xml:space="preserve">NGƯỜI GIAO         NGƯỜI NHẬN               TÀI CHÍNH           NGƯỜI VIẾT PHIẾU     TRƯỞNG BAN HC-KT     CHỈ HUY ĐƠN VỊ   </t>
  </si>
  <si>
    <t>Phạm Văn Thứ</t>
  </si>
  <si>
    <t xml:space="preserve"> BỘ ĐỘI BIÊN PHÒNG</t>
  </si>
  <si>
    <t>PHIẾU NHẬP PTKT - VTXD</t>
  </si>
  <si>
    <t>Đơn vị nhận hàng: Hải đoàn Biên phòng 18</t>
  </si>
  <si>
    <t>Số</t>
  </si>
  <si>
    <t>Có giá trị đến ngày:</t>
  </si>
  <si>
    <t>Đơn vị giao hàng: Phân kho 101 Phía Nam</t>
  </si>
  <si>
    <t>Ngày</t>
  </si>
  <si>
    <t>Người giao hàng: …………………..</t>
  </si>
  <si>
    <t>Tính chất nhập: Nhập hiện vật PTKT-VTXD</t>
  </si>
  <si>
    <t>Giấy giới thiệu và CMT: ……………</t>
  </si>
  <si>
    <t>Theo hợp đồng(KH) số: KH nhập PTKT-VTXD 2024</t>
  </si>
  <si>
    <t>Số xe: ……………………………….</t>
  </si>
  <si>
    <t>Đơn vị vận chuyển: Hải đoàn Biên phòng 18</t>
  </si>
  <si>
    <t xml:space="preserve">Tên hàng </t>
  </si>
  <si>
    <t>ĐVT</t>
  </si>
  <si>
    <t>Đơn giá (Đồng)</t>
  </si>
  <si>
    <t>Phải nhập</t>
  </si>
  <si>
    <t>Cột tra NL ĐT TATSUNO</t>
  </si>
  <si>
    <t>Cột</t>
  </si>
  <si>
    <t>Bơm quả nén D-100</t>
  </si>
  <si>
    <t>Cái</t>
  </si>
  <si>
    <t>Chăn ami ăng</t>
  </si>
  <si>
    <t>Bình bột cứu hỏa 4kg-MQZL-4</t>
  </si>
  <si>
    <t xml:space="preserve">Bình </t>
  </si>
  <si>
    <t>Bình bột cứu hỏa 8kg-MQZL-8</t>
  </si>
  <si>
    <t>Bình bột cứu hỏa 35kg-MQZL-35</t>
  </si>
  <si>
    <t>Tổng cộng:  06  khoản.</t>
  </si>
  <si>
    <t>Thành tiền: Một trăm chín mươi tư triệu, năm trăm chín mươi ba ngàn đồng.</t>
  </si>
  <si>
    <t>Ghi chú:………………………………………………………………………………………………………………………………..</t>
  </si>
  <si>
    <t xml:space="preserve">          NGƯỜI NHẬN             NGƯỜI GIAO            TÀI CHÍNH          NGƯỜI VIẾT PHIẾU    TRƯỞNG BAN HC-KT         CHỈ HUY ĐƠN VỊ</t>
  </si>
  <si>
    <t>T1CN Trương Xuân Dụng   Phạm Văn Thứ     T1 Đào Trần Mạnh         U2 Lê Trọng Hải               T2 Phạm Cao Hán          T4 Trương Tất Thắng</t>
  </si>
  <si>
    <t>HẢI ĐOÀN 18</t>
  </si>
  <si>
    <t>Đơn vị nhận hàng: Hải đoàn 18</t>
  </si>
  <si>
    <t>Theo hợp đồng(KH) số: KH nhập PTKT-VTXD 2021</t>
  </si>
  <si>
    <t>Đơn vị vận chuyển: Hải đoàn 18</t>
  </si>
  <si>
    <t>Bình cứu hỏa MFTZ-8</t>
  </si>
  <si>
    <t>Tổng cộng:  01  khoản.</t>
  </si>
  <si>
    <t>Thành tiền: Hai triệu năm trăm ngàn đồng</t>
  </si>
  <si>
    <t xml:space="preserve">     NGƯỜI NHẬN             NGƯỜI GIAO            TÀI CHÍNH          NGƯỜI VIẾT PHIẾU            CHỦ NHIỆM HC-KT           CHỈ HUY ĐƠN VỊ</t>
  </si>
  <si>
    <t xml:space="preserve">T1CN Đỗ Thành Nâng                                      T1 Đào Trần Mạnh         U2 Lê Trọng Hải                    T2 Phan Văn Ánh              T4 Đỗ Thành Trung  </t>
  </si>
  <si>
    <t>Xăng RON 95</t>
  </si>
  <si>
    <t>Total Rubia Tir 6400</t>
  </si>
  <si>
    <t>Vanellus Monogarde 40</t>
  </si>
  <si>
    <t>Hydraulic VG 32</t>
  </si>
  <si>
    <t>Đinh tự AY</t>
  </si>
  <si>
    <t xml:space="preserve">Phạm Kim Lịch      </t>
  </si>
  <si>
    <t>T2 Bùi Văn Sơn</t>
  </si>
  <si>
    <t>T1CN Đỗ Văn Hải</t>
  </si>
  <si>
    <t>QB 41-27</t>
  </si>
  <si>
    <t xml:space="preserve">Phạm Kim Lịch  </t>
  </si>
  <si>
    <t xml:space="preserve">Total Caprano TDI </t>
  </si>
  <si>
    <t xml:space="preserve">Total Quazt VNM </t>
  </si>
  <si>
    <t>MiLPC 04</t>
  </si>
  <si>
    <t>U2CN Trần Lý Vĩ</t>
  </si>
  <si>
    <t>Cấp Cano 10-01</t>
  </si>
  <si>
    <t>Cấp Cano 01-06</t>
  </si>
  <si>
    <t>Cấp Cano 01-07</t>
  </si>
  <si>
    <t>Cấp Cano 19-01</t>
  </si>
  <si>
    <t>Biên đội</t>
  </si>
  <si>
    <t>Kế hoạch IUU Q3/2025</t>
  </si>
  <si>
    <t>Nhiệm vụ khác</t>
  </si>
  <si>
    <t>Trần Hữu Hoàng</t>
  </si>
  <si>
    <t>U1CN Lê Tài</t>
  </si>
  <si>
    <t>Đơn vị giao hàng: Công ty CP DK QT TPP</t>
  </si>
  <si>
    <t>Tính chất nhập: Mua đấu thầu kinh phí IUU</t>
  </si>
  <si>
    <t>Theo hợp đồng số: 05/HĐMB/HĐBP18-TPP</t>
  </si>
  <si>
    <t xml:space="preserve">Nguyễn Anh Toàn  T1CN Tr. Xuân Dụng    T2 Đào Trần Mạnh    U4 Nguyễn Như Phong          T2 Phạm Cao Hán           T3 Phan Văn Ánh   </t>
  </si>
  <si>
    <t>Đơn vị vận chuyển: Lái xe Công ty CP DK QT TPP</t>
  </si>
  <si>
    <t>TÍNH CHẤT XUẤT2</t>
  </si>
  <si>
    <t>ĐƠN VỊ NHẬN</t>
  </si>
  <si>
    <t>Quân y</t>
  </si>
  <si>
    <t>Doanh trại</t>
  </si>
  <si>
    <t>Cơ yếu</t>
  </si>
  <si>
    <t>Thông tin</t>
  </si>
  <si>
    <t>Thủ kho</t>
  </si>
  <si>
    <t>Cấp ứng làm NV IUU</t>
  </si>
  <si>
    <t>Cấp bổ sung NV IUU</t>
  </si>
  <si>
    <t>Cấp bổ sung tồn tàu</t>
  </si>
  <si>
    <t>Tàu BP 27-19-01</t>
  </si>
  <si>
    <t>Tàu BP 27-01-01</t>
  </si>
  <si>
    <t>Tàu BP 27-01-02</t>
  </si>
  <si>
    <t>Tàu BP 27-01-03</t>
  </si>
  <si>
    <t>Tàu BP 27-01-04</t>
  </si>
  <si>
    <t>Tàu BP 27-01-05</t>
  </si>
  <si>
    <t>Tàu BP 27-01-06</t>
  </si>
  <si>
    <t>Tàu BP 27-01-07</t>
  </si>
  <si>
    <t>Tàu BP 27-05-01</t>
  </si>
  <si>
    <t>Tàu BP 27-05-02</t>
  </si>
  <si>
    <t>Tàu BP 27-05-03</t>
  </si>
  <si>
    <t>Tàu BP 27-06-01</t>
  </si>
  <si>
    <t>Tàu BP 27-06-02</t>
  </si>
  <si>
    <t>Tàu BP 27-08-01</t>
  </si>
  <si>
    <t>Tàu BP 27-15-02</t>
  </si>
  <si>
    <t>Lái xe</t>
  </si>
  <si>
    <r>
      <t>(Lít t</t>
    </r>
    <r>
      <rPr>
        <vertAlign val="superscript"/>
        <sz val="13"/>
        <color theme="1"/>
        <rFont val="Times New Roman"/>
        <family val="1"/>
      </rPr>
      <t>0</t>
    </r>
    <r>
      <rPr>
        <sz val="13"/>
        <color theme="1"/>
        <rFont val="Times New Roman"/>
        <family val="1"/>
      </rPr>
      <t>TT, kg)</t>
    </r>
  </si>
  <si>
    <t>Thi 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</si>
</sst>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00"/>
    <numFmt numFmtId="167" formatCode="0.0000"/>
  </numFmts>
  <fonts count="2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sz val="14"/>
      <color rgb="FFFF0000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vertAlign val="superscript"/>
      <sz val="13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thin">
        <color theme="6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209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3" fontId="5" fillId="0" borderId="0" xfId="1" applyNumberFormat="1" applyFont="1" applyBorder="1" applyAlignment="1">
      <alignment horizontal="right"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165" fontId="5" fillId="0" borderId="0" xfId="1" applyNumberFormat="1" applyFont="1" applyBorder="1" applyAlignment="1">
      <alignment horizontal="righ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right" vertical="center" wrapText="1"/>
    </xf>
    <xf numFmtId="3" fontId="4" fillId="0" borderId="12" xfId="0" applyNumberFormat="1" applyFont="1" applyBorder="1" applyAlignment="1">
      <alignment horizontal="right" vertical="center" wrapText="1"/>
    </xf>
    <xf numFmtId="43" fontId="4" fillId="0" borderId="12" xfId="1" applyFont="1" applyBorder="1" applyAlignment="1">
      <alignment horizontal="right" vertical="center" wrapText="1"/>
    </xf>
    <xf numFmtId="165" fontId="4" fillId="0" borderId="12" xfId="1" applyNumberFormat="1" applyFont="1" applyBorder="1" applyAlignment="1">
      <alignment horizontal="right" vertical="center" wrapText="1"/>
    </xf>
    <xf numFmtId="165" fontId="4" fillId="0" borderId="0" xfId="1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3" fontId="5" fillId="0" borderId="0" xfId="1" applyNumberFormat="1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5" fillId="0" borderId="0" xfId="2" applyNumberFormat="1" applyFont="1" applyBorder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49" fontId="14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vertical="center" wrapText="1"/>
    </xf>
    <xf numFmtId="0" fontId="13" fillId="0" borderId="12" xfId="0" applyFont="1" applyBorder="1" applyAlignment="1">
      <alignment horizontal="right" vertical="center" wrapText="1"/>
    </xf>
    <xf numFmtId="3" fontId="13" fillId="0" borderId="12" xfId="0" applyNumberFormat="1" applyFont="1" applyBorder="1" applyAlignment="1">
      <alignment horizontal="right" vertical="center" wrapText="1"/>
    </xf>
    <xf numFmtId="43" fontId="13" fillId="0" borderId="12" xfId="2" applyFont="1" applyBorder="1" applyAlignment="1">
      <alignment horizontal="right" vertical="center" wrapText="1"/>
    </xf>
    <xf numFmtId="165" fontId="13" fillId="0" borderId="12" xfId="2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3" fontId="5" fillId="0" borderId="0" xfId="2" applyNumberFormat="1" applyFont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2" fillId="0" borderId="0" xfId="0" applyFont="1"/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3" fontId="16" fillId="0" borderId="4" xfId="0" applyNumberFormat="1" applyFont="1" applyBorder="1" applyAlignment="1">
      <alignment horizontal="right" vertical="center" wrapText="1"/>
    </xf>
    <xf numFmtId="0" fontId="15" fillId="0" borderId="21" xfId="0" applyFont="1" applyBorder="1" applyAlignment="1">
      <alignment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vertical="center" wrapText="1"/>
    </xf>
    <xf numFmtId="0" fontId="16" fillId="0" borderId="24" xfId="0" applyFont="1" applyBorder="1" applyAlignment="1">
      <alignment horizontal="center" vertical="center" wrapText="1"/>
    </xf>
    <xf numFmtId="165" fontId="16" fillId="0" borderId="24" xfId="3" applyNumberFormat="1" applyFont="1" applyBorder="1" applyAlignment="1">
      <alignment horizontal="right" vertical="center" wrapText="1"/>
    </xf>
    <xf numFmtId="3" fontId="16" fillId="0" borderId="24" xfId="0" applyNumberFormat="1" applyFont="1" applyBorder="1" applyAlignment="1">
      <alignment horizontal="righ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165" fontId="18" fillId="0" borderId="12" xfId="0" applyNumberFormat="1" applyFont="1" applyBorder="1" applyAlignment="1">
      <alignment vertical="center" wrapText="1"/>
    </xf>
    <xf numFmtId="165" fontId="18" fillId="0" borderId="12" xfId="0" applyNumberFormat="1" applyFont="1" applyBorder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/>
    <xf numFmtId="0" fontId="14" fillId="0" borderId="0" xfId="0" applyFont="1"/>
    <xf numFmtId="0" fontId="18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6" fillId="0" borderId="28" xfId="0" applyFont="1" applyBorder="1" applyAlignment="1">
      <alignment horizontal="center" vertical="center" wrapText="1"/>
    </xf>
    <xf numFmtId="0" fontId="18" fillId="0" borderId="28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165" fontId="16" fillId="0" borderId="29" xfId="3" applyNumberFormat="1" applyFont="1" applyBorder="1" applyAlignment="1">
      <alignment horizontal="right" vertical="center" wrapText="1"/>
    </xf>
    <xf numFmtId="165" fontId="13" fillId="0" borderId="12" xfId="0" applyNumberFormat="1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65" fontId="7" fillId="0" borderId="12" xfId="0" applyNumberFormat="1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3" fontId="7" fillId="0" borderId="12" xfId="0" applyNumberFormat="1" applyFont="1" applyBorder="1" applyAlignment="1">
      <alignment horizontal="right" vertical="center" wrapText="1"/>
    </xf>
    <xf numFmtId="165" fontId="7" fillId="0" borderId="12" xfId="1" applyNumberFormat="1" applyFont="1" applyBorder="1" applyAlignment="1">
      <alignment horizontal="right" vertical="center" wrapText="1"/>
    </xf>
    <xf numFmtId="2" fontId="7" fillId="0" borderId="12" xfId="0" applyNumberFormat="1" applyFont="1" applyBorder="1" applyAlignment="1">
      <alignment horizontal="right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165" fontId="14" fillId="0" borderId="12" xfId="0" applyNumberFormat="1" applyFont="1" applyBorder="1" applyAlignment="1">
      <alignment horizontal="right" vertical="center" wrapText="1"/>
    </xf>
    <xf numFmtId="0" fontId="14" fillId="0" borderId="12" xfId="0" applyFont="1" applyBorder="1" applyAlignment="1">
      <alignment horizontal="right" vertical="center" wrapText="1"/>
    </xf>
    <xf numFmtId="167" fontId="26" fillId="0" borderId="12" xfId="0" applyNumberFormat="1" applyFont="1" applyBorder="1" applyAlignment="1">
      <alignment horizontal="righ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3" fontId="14" fillId="0" borderId="12" xfId="2" applyNumberFormat="1" applyFont="1" applyBorder="1" applyAlignment="1">
      <alignment horizontal="right" vertical="center" wrapText="1"/>
    </xf>
    <xf numFmtId="165" fontId="14" fillId="0" borderId="12" xfId="2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2" borderId="0" xfId="0" applyFont="1" applyFill="1" applyAlignment="1">
      <alignment vertical="center"/>
    </xf>
    <xf numFmtId="3" fontId="14" fillId="0" borderId="0" xfId="1" applyNumberFormat="1" applyFont="1" applyBorder="1" applyAlignment="1">
      <alignment horizontal="right" vertical="center" wrapText="1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 wrapText="1"/>
    </xf>
    <xf numFmtId="3" fontId="14" fillId="0" borderId="0" xfId="0" applyNumberFormat="1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165" fontId="16" fillId="0" borderId="12" xfId="0" applyNumberFormat="1" applyFont="1" applyBorder="1" applyAlignment="1">
      <alignment horizontal="right" vertical="center" wrapText="1"/>
    </xf>
    <xf numFmtId="0" fontId="16" fillId="0" borderId="12" xfId="0" applyFont="1" applyBorder="1" applyAlignment="1">
      <alignment horizontal="right" vertical="center" wrapText="1"/>
    </xf>
    <xf numFmtId="3" fontId="16" fillId="0" borderId="12" xfId="0" applyNumberFormat="1" applyFont="1" applyBorder="1" applyAlignment="1">
      <alignment horizontal="right" vertical="center" wrapText="1"/>
    </xf>
    <xf numFmtId="165" fontId="16" fillId="0" borderId="12" xfId="1" applyNumberFormat="1" applyFont="1" applyBorder="1" applyAlignment="1">
      <alignment horizontal="right" vertical="center" wrapText="1"/>
    </xf>
    <xf numFmtId="165" fontId="14" fillId="0" borderId="0" xfId="1" applyNumberFormat="1" applyFont="1" applyBorder="1" applyAlignment="1">
      <alignment horizontal="right" vertical="center" wrapText="1"/>
    </xf>
    <xf numFmtId="43" fontId="13" fillId="0" borderId="12" xfId="1" applyFont="1" applyBorder="1" applyAlignment="1">
      <alignment horizontal="right" vertical="center" wrapText="1"/>
    </xf>
    <xf numFmtId="165" fontId="13" fillId="0" borderId="12" xfId="1" applyNumberFormat="1" applyFont="1" applyBorder="1" applyAlignment="1">
      <alignment horizontal="right" vertical="center" wrapText="1"/>
    </xf>
    <xf numFmtId="165" fontId="13" fillId="0" borderId="0" xfId="1" applyNumberFormat="1" applyFont="1" applyBorder="1" applyAlignment="1">
      <alignment horizontal="right" vertical="center" wrapText="1"/>
    </xf>
    <xf numFmtId="3" fontId="13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3" fontId="13" fillId="0" borderId="0" xfId="0" applyNumberFormat="1" applyFont="1" applyAlignment="1">
      <alignment vertical="center" wrapText="1"/>
    </xf>
    <xf numFmtId="0" fontId="14" fillId="0" borderId="30" xfId="0" applyFont="1" applyBorder="1" applyAlignment="1">
      <alignment vertical="center"/>
    </xf>
    <xf numFmtId="3" fontId="14" fillId="0" borderId="0" xfId="1" applyNumberFormat="1" applyFont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4" fontId="14" fillId="0" borderId="13" xfId="0" applyNumberFormat="1" applyFont="1" applyBorder="1" applyAlignment="1">
      <alignment horizontal="center" vertical="center" wrapText="1"/>
    </xf>
    <xf numFmtId="14" fontId="14" fillId="0" borderId="14" xfId="0" applyNumberFormat="1" applyFont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center" vertical="center" wrapText="1"/>
    </xf>
    <xf numFmtId="14" fontId="14" fillId="0" borderId="10" xfId="0" applyNumberFormat="1" applyFont="1" applyBorder="1" applyAlignment="1">
      <alignment horizontal="center" vertical="center" wrapText="1"/>
    </xf>
    <xf numFmtId="14" fontId="14" fillId="0" borderId="16" xfId="0" applyNumberFormat="1" applyFont="1" applyBorder="1" applyAlignment="1">
      <alignment horizontal="center" vertical="center" wrapText="1"/>
    </xf>
    <xf numFmtId="14" fontId="14" fillId="0" borderId="1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6" fontId="1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20" fillId="0" borderId="2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3" fontId="20" fillId="0" borderId="21" xfId="0" applyNumberFormat="1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</cellXfs>
  <cellStyles count="5">
    <cellStyle name="Comma" xfId="1" builtinId="3"/>
    <cellStyle name="Comma 2" xfId="2" xr:uid="{ACF05F63-32D3-4F7F-A344-5A54558B1323}"/>
    <cellStyle name="Comma 3" xfId="3" xr:uid="{73DAA689-C085-4233-8D4D-E79CC7F6414F}"/>
    <cellStyle name="Normal" xfId="0" builtinId="0"/>
    <cellStyle name="Normal 2" xfId="4" xr:uid="{C0A20DF1-9AC4-4449-8644-6162E1057F78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charset val="16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6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charset val="16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76838</xdr:colOff>
      <xdr:row>3</xdr:row>
      <xdr:rowOff>1911</xdr:rowOff>
    </xdr:from>
    <xdr:to>
      <xdr:col>2</xdr:col>
      <xdr:colOff>1229363</xdr:colOff>
      <xdr:row>3</xdr:row>
      <xdr:rowOff>1911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CEAE8C2-0835-48FA-9EDF-C095D04A0733}"/>
            </a:ext>
          </a:extLst>
        </xdr:cNvPr>
        <xdr:cNvCxnSpPr/>
      </xdr:nvCxnSpPr>
      <xdr:spPr>
        <a:xfrm>
          <a:off x="972188" y="687711"/>
          <a:ext cx="1152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599247</xdr:colOff>
      <xdr:row>2</xdr:row>
      <xdr:rowOff>207065</xdr:rowOff>
    </xdr:from>
    <xdr:to>
      <xdr:col>2</xdr:col>
      <xdr:colOff>1104072</xdr:colOff>
      <xdr:row>2</xdr:row>
      <xdr:rowOff>207065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971964" y="670891"/>
          <a:ext cx="11922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599247</xdr:colOff>
      <xdr:row>2</xdr:row>
      <xdr:rowOff>207065</xdr:rowOff>
    </xdr:from>
    <xdr:to>
      <xdr:col>2</xdr:col>
      <xdr:colOff>1104072</xdr:colOff>
      <xdr:row>2</xdr:row>
      <xdr:rowOff>207065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C728189-66F4-499C-A62E-0D63CB9C02ED}"/>
            </a:ext>
          </a:extLst>
        </xdr:cNvPr>
        <xdr:cNvCxnSpPr/>
      </xdr:nvCxnSpPr>
      <xdr:spPr>
        <a:xfrm>
          <a:off x="1027872" y="664265"/>
          <a:ext cx="1247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2</xdr:row>
      <xdr:rowOff>142875</xdr:rowOff>
    </xdr:from>
    <xdr:to>
      <xdr:col>20</xdr:col>
      <xdr:colOff>400050</xdr:colOff>
      <xdr:row>3</xdr:row>
      <xdr:rowOff>114300</xdr:rowOff>
    </xdr:to>
    <xdr:cxnSp macro="">
      <xdr:nvCxnSpPr>
        <xdr:cNvPr id="3" name="Đường nối Thẳng 6">
          <a:extLst>
            <a:ext uri="{FF2B5EF4-FFF2-40B4-BE49-F238E27FC236}">
              <a16:creationId xmlns:a16="http://schemas.microsoft.com/office/drawing/2014/main" id="{51D409AC-3140-48AC-B8E8-77410443B530}"/>
            </a:ext>
          </a:extLst>
        </xdr:cNvPr>
        <xdr:cNvCxnSpPr/>
      </xdr:nvCxnSpPr>
      <xdr:spPr>
        <a:xfrm>
          <a:off x="9496425" y="600075"/>
          <a:ext cx="942022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3</xdr:row>
      <xdr:rowOff>219075</xdr:rowOff>
    </xdr:from>
    <xdr:to>
      <xdr:col>7</xdr:col>
      <xdr:colOff>495299</xdr:colOff>
      <xdr:row>8</xdr:row>
      <xdr:rowOff>104775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E80D7CCC-7D03-41E4-9EF9-D0298CA41498}"/>
            </a:ext>
          </a:extLst>
        </xdr:cNvPr>
        <xdr:cNvSpPr txBox="1">
          <a:spLocks noChangeArrowheads="1"/>
        </xdr:cNvSpPr>
      </xdr:nvSpPr>
      <xdr:spPr bwMode="auto">
        <a:xfrm>
          <a:off x="5991224" y="895350"/>
          <a:ext cx="1019175" cy="1076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24/9/2024	</a:t>
          </a:r>
        </a:p>
      </xdr:txBody>
    </xdr:sp>
    <xdr:clientData/>
  </xdr:twoCellAnchor>
  <xdr:twoCellAnchor>
    <xdr:from>
      <xdr:col>8</xdr:col>
      <xdr:colOff>0</xdr:colOff>
      <xdr:row>0</xdr:row>
      <xdr:rowOff>38100</xdr:rowOff>
    </xdr:from>
    <xdr:to>
      <xdr:col>8</xdr:col>
      <xdr:colOff>1409700</xdr:colOff>
      <xdr:row>1</xdr:row>
      <xdr:rowOff>109934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764B0A1-F8F2-4CEE-9EA0-79A64C8BBB51}"/>
            </a:ext>
          </a:extLst>
        </xdr:cNvPr>
        <xdr:cNvSpPr txBox="1">
          <a:spLocks noChangeArrowheads="1"/>
        </xdr:cNvSpPr>
      </xdr:nvSpPr>
      <xdr:spPr bwMode="auto">
        <a:xfrm>
          <a:off x="7696200" y="38100"/>
          <a:ext cx="1409700" cy="2718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 1 – 04/XD-14</a:t>
          </a:r>
          <a:r>
            <a:rPr lang="vi-VN" sz="1200" b="1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</a:t>
          </a:r>
          <a:endParaRPr lang="en-US" sz="14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934641</xdr:colOff>
      <xdr:row>4</xdr:row>
      <xdr:rowOff>0</xdr:rowOff>
    </xdr:from>
    <xdr:to>
      <xdr:col>2</xdr:col>
      <xdr:colOff>821928</xdr:colOff>
      <xdr:row>4</xdr:row>
      <xdr:rowOff>9923</xdr:rowOff>
    </xdr:to>
    <xdr:cxnSp macro="">
      <xdr:nvCxnSpPr>
        <xdr:cNvPr id="4" name="Đường nối Thẳng 3">
          <a:extLst>
            <a:ext uri="{FF2B5EF4-FFF2-40B4-BE49-F238E27FC236}">
              <a16:creationId xmlns:a16="http://schemas.microsoft.com/office/drawing/2014/main" id="{3EF9BF9A-2825-42A0-ABC6-652F136968E0}"/>
            </a:ext>
          </a:extLst>
        </xdr:cNvPr>
        <xdr:cNvCxnSpPr/>
      </xdr:nvCxnSpPr>
      <xdr:spPr>
        <a:xfrm>
          <a:off x="1248966" y="914400"/>
          <a:ext cx="820737" cy="99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36</xdr:row>
      <xdr:rowOff>219075</xdr:rowOff>
    </xdr:from>
    <xdr:to>
      <xdr:col>7</xdr:col>
      <xdr:colOff>304801</xdr:colOff>
      <xdr:row>41</xdr:row>
      <xdr:rowOff>104775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CC4E9BB9-51A1-4CB3-9751-C53A392F92C7}"/>
            </a:ext>
          </a:extLst>
        </xdr:cNvPr>
        <xdr:cNvSpPr txBox="1">
          <a:spLocks noChangeArrowheads="1"/>
        </xdr:cNvSpPr>
      </xdr:nvSpPr>
      <xdr:spPr bwMode="auto">
        <a:xfrm>
          <a:off x="5991225" y="8391525"/>
          <a:ext cx="828676" cy="1076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31/12/2021	</a:t>
          </a:r>
        </a:p>
      </xdr:txBody>
    </xdr:sp>
    <xdr:clientData/>
  </xdr:twoCellAnchor>
  <xdr:twoCellAnchor>
    <xdr:from>
      <xdr:col>8</xdr:col>
      <xdr:colOff>0</xdr:colOff>
      <xdr:row>33</xdr:row>
      <xdr:rowOff>38100</xdr:rowOff>
    </xdr:from>
    <xdr:to>
      <xdr:col>8</xdr:col>
      <xdr:colOff>1409700</xdr:colOff>
      <xdr:row>34</xdr:row>
      <xdr:rowOff>109934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F2A1D358-69C0-4F3D-80C1-0BE992015399}"/>
            </a:ext>
          </a:extLst>
        </xdr:cNvPr>
        <xdr:cNvSpPr txBox="1">
          <a:spLocks noChangeArrowheads="1"/>
        </xdr:cNvSpPr>
      </xdr:nvSpPr>
      <xdr:spPr bwMode="auto">
        <a:xfrm>
          <a:off x="7696200" y="7534275"/>
          <a:ext cx="1409700" cy="2718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 1 – 04/XD-14</a:t>
          </a:r>
          <a:r>
            <a:rPr lang="vi-VN" sz="1200" b="1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</a:t>
          </a:r>
          <a:endParaRPr lang="en-US" sz="14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934641</xdr:colOff>
      <xdr:row>36</xdr:row>
      <xdr:rowOff>228600</xdr:rowOff>
    </xdr:from>
    <xdr:to>
      <xdr:col>2</xdr:col>
      <xdr:colOff>819150</xdr:colOff>
      <xdr:row>37</xdr:row>
      <xdr:rowOff>0</xdr:rowOff>
    </xdr:to>
    <xdr:cxnSp macro="">
      <xdr:nvCxnSpPr>
        <xdr:cNvPr id="7" name="Đường nối Thẳng 6">
          <a:extLst>
            <a:ext uri="{FF2B5EF4-FFF2-40B4-BE49-F238E27FC236}">
              <a16:creationId xmlns:a16="http://schemas.microsoft.com/office/drawing/2014/main" id="{A2E6C4C0-F20D-4D3A-9243-9B85D27A0581}"/>
            </a:ext>
          </a:extLst>
        </xdr:cNvPr>
        <xdr:cNvCxnSpPr/>
      </xdr:nvCxnSpPr>
      <xdr:spPr>
        <a:xfrm flipV="1">
          <a:off x="1248966" y="8401050"/>
          <a:ext cx="817959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VnToolsExcel\VnTools-Excel.xlam" TargetMode="External"/><Relationship Id="rId1" Type="http://schemas.openxmlformats.org/officeDocument/2006/relationships/externalLinkPath" Target="file:///C:\Program%20Files%20(x86)\VnToolsExcel\VnTools-Exce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vnd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DC7432-8840-438D-A620-AE22B826CC6C}" name="Table13" displayName="Table13" ref="M2:R36" totalsRowShown="0" headerRowDxfId="26" dataDxfId="25">
  <autoFilter ref="M2:R36" xr:uid="{FD1A0EF8-600E-466F-9A8F-4724E2B88634}"/>
  <tableColumns count="6">
    <tableColumn id="1" xr3:uid="{51A69D9B-34FD-4968-8DC3-0CA03C1287A0}" name="TÍNH CHẤT XUẤT" dataDxfId="24"/>
    <tableColumn id="2" xr3:uid="{84BBE8B6-5535-4B52-937C-55FB57B5ECFA}" name="NGƯỜI NHẬN" dataDxfId="23"/>
    <tableColumn id="3" xr3:uid="{09318583-F0D0-4942-9DCD-954168E56EF9}" name="PT" dataDxfId="22"/>
    <tableColumn id="4" xr3:uid="{D569B4EE-FC25-421F-BA85-8E810B51E9E7}" name="NL" dataDxfId="21"/>
    <tableColumn id="5" xr3:uid="{D1B1A3CA-9E7A-488C-AE66-5D415FB0F642}" name="GIÁ" dataDxfId="20" dataCellStyle="Comma"/>
    <tableColumn id="6" xr3:uid="{B95A3F9A-0D72-4EC8-A58D-8DF2B171E471}" name="Lít/100km" dataDxfId="1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768C5-8A5D-48A7-9D07-C4751E9461F1}" name="Table1" displayName="Table1" ref="N2:U39" totalsRowShown="0" headerRowDxfId="18" dataDxfId="17">
  <autoFilter ref="N2:U39" xr:uid="{D83768C5-8A5D-48A7-9D07-C4751E9461F1}"/>
  <tableColumns count="8">
    <tableColumn id="1" xr3:uid="{CE7A3335-2A63-4728-9377-FE66C7BF03C9}" name="ĐƠN VỊ NHẬN" dataDxfId="16"/>
    <tableColumn id="8" xr3:uid="{851728BE-E66D-4BEC-8914-B096D7F3BA07}" name="TÍNH CHẤT XUẤT2" dataDxfId="15"/>
    <tableColumn id="2" xr3:uid="{62BD9689-B21D-47C9-BBEC-65CE78196D22}" name="NGƯỜI NHẬN" dataDxfId="14"/>
    <tableColumn id="3" xr3:uid="{064B6817-5EEB-47B0-936A-E8DBC47BB901}" name="PT" dataDxfId="13"/>
    <tableColumn id="4" xr3:uid="{B1A1189A-1528-40DA-B2F6-262C534F3D57}" name="NL" dataDxfId="12"/>
    <tableColumn id="5" xr3:uid="{CDED706D-5195-44B3-ABF6-0FFD9493F1C1}" name="GIÁ" dataDxfId="11" dataCellStyle="Comma"/>
    <tableColumn id="6" xr3:uid="{68DD7CCF-DD38-4D22-BA77-73D8948BC3E8}" name="Lít/100km" dataDxfId="10"/>
    <tableColumn id="7" xr3:uid="{91BE1333-2647-47B2-8280-755C883DE2F9}" name="Tồn" dataDxfId="9" dataCellStyle="Comma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7E7CBA-CBC9-4B7A-B411-F06CFD1D7DF1}" name="Table15" displayName="Table15" ref="N2:T36" totalsRowShown="0" headerRowDxfId="8" dataDxfId="7">
  <autoFilter ref="N2:T36" xr:uid="{D83768C5-8A5D-48A7-9D07-C4751E9461F1}"/>
  <tableColumns count="7">
    <tableColumn id="1" xr3:uid="{543DE67F-9105-49C1-96EE-3CF996341238}" name="TÍNH CHẤT XUẤT" dataDxfId="6"/>
    <tableColumn id="2" xr3:uid="{B0817E7E-A145-4EFD-B314-8A298AC2F29B}" name="NGƯỜI NHẬN" dataDxfId="5"/>
    <tableColumn id="3" xr3:uid="{982178A2-88DB-43EE-AFC2-38BB64F67054}" name="PT" dataDxfId="4"/>
    <tableColumn id="4" xr3:uid="{D5A3BF7B-ADA0-4CEE-9D37-0208FEAD76C1}" name="NL" dataDxfId="3"/>
    <tableColumn id="5" xr3:uid="{E8F3CE81-EE07-4E81-B808-2A203556BAAF}" name="GIÁ" dataDxfId="2" dataCellStyle="Comma"/>
    <tableColumn id="6" xr3:uid="{AA10C216-ACAD-466C-A9ED-F63EB189DA3C}" name="Lít/100km" dataDxfId="1"/>
    <tableColumn id="7" xr3:uid="{0EA6EEB6-3F0D-4CA1-8C64-B20B35D0439B}" name="Tồn" dataDxfId="0" dataCellStyle="Comm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54C1-C257-45EA-8BEF-61132611F2E1}">
  <sheetPr codeName="Sheet2">
    <tabColor rgb="FFFF0000"/>
  </sheetPr>
  <dimension ref="A1:R36"/>
  <sheetViews>
    <sheetView zoomScaleNormal="100" zoomScaleSheetLayoutView="115" workbookViewId="0">
      <selection activeCell="C26" sqref="C26"/>
    </sheetView>
  </sheetViews>
  <sheetFormatPr defaultColWidth="9.140625" defaultRowHeight="18" customHeight="1" x14ac:dyDescent="0.25"/>
  <cols>
    <col min="1" max="1" width="4.85546875" style="38" customWidth="1"/>
    <col min="2" max="2" width="8.5703125" style="38" customWidth="1"/>
    <col min="3" max="3" width="23.28515625" style="38" customWidth="1"/>
    <col min="4" max="4" width="8" style="38" customWidth="1"/>
    <col min="5" max="5" width="14.7109375" style="38" customWidth="1"/>
    <col min="6" max="6" width="10.28515625" style="38" customWidth="1"/>
    <col min="7" max="8" width="8.7109375" style="38" customWidth="1"/>
    <col min="9" max="9" width="14.7109375" style="38" customWidth="1"/>
    <col min="10" max="11" width="18.42578125" style="38" customWidth="1"/>
    <col min="12" max="12" width="9.140625" style="38"/>
    <col min="13" max="13" width="29.42578125" style="38" bestFit="1" customWidth="1"/>
    <col min="14" max="14" width="24.42578125" style="38" bestFit="1" customWidth="1"/>
    <col min="15" max="15" width="11.7109375" style="38" bestFit="1" customWidth="1"/>
    <col min="16" max="16" width="27.140625" style="38" bestFit="1" customWidth="1"/>
    <col min="17" max="17" width="9.7109375" style="38" bestFit="1" customWidth="1"/>
    <col min="18" max="18" width="17.7109375" style="38" bestFit="1" customWidth="1"/>
    <col min="19" max="16384" width="9.140625" style="38"/>
  </cols>
  <sheetData>
    <row r="1" spans="1:18" ht="18" customHeight="1" x14ac:dyDescent="0.25">
      <c r="A1" s="37"/>
      <c r="J1" s="39"/>
      <c r="K1" s="40" t="s">
        <v>130</v>
      </c>
    </row>
    <row r="2" spans="1:18" ht="18" customHeight="1" x14ac:dyDescent="0.25">
      <c r="A2" s="153" t="s">
        <v>24</v>
      </c>
      <c r="B2" s="153"/>
      <c r="C2" s="153"/>
      <c r="D2" s="153"/>
      <c r="E2" s="154" t="s">
        <v>131</v>
      </c>
      <c r="F2" s="154"/>
      <c r="G2" s="154"/>
      <c r="H2" s="154"/>
      <c r="I2" s="154"/>
      <c r="J2" s="154"/>
      <c r="K2" s="154"/>
      <c r="M2" s="7" t="s">
        <v>77</v>
      </c>
      <c r="N2" s="7" t="s">
        <v>76</v>
      </c>
      <c r="O2" s="7" t="s">
        <v>73</v>
      </c>
      <c r="P2" s="7" t="s">
        <v>74</v>
      </c>
      <c r="Q2" s="7" t="s">
        <v>75</v>
      </c>
      <c r="R2" s="7" t="s">
        <v>116</v>
      </c>
    </row>
    <row r="3" spans="1:18" ht="18" customHeight="1" x14ac:dyDescent="0.25">
      <c r="A3" s="155" t="s">
        <v>27</v>
      </c>
      <c r="B3" s="155"/>
      <c r="C3" s="155"/>
      <c r="D3" s="155"/>
      <c r="E3" s="41"/>
      <c r="F3" s="41"/>
      <c r="G3" s="41"/>
      <c r="H3" s="41"/>
      <c r="I3" s="41"/>
      <c r="J3" s="41"/>
      <c r="K3" s="41"/>
      <c r="M3" s="2" t="s">
        <v>36</v>
      </c>
      <c r="N3" s="2" t="s">
        <v>123</v>
      </c>
      <c r="O3" s="2" t="s">
        <v>60</v>
      </c>
      <c r="P3" s="2" t="s">
        <v>34</v>
      </c>
      <c r="Q3" s="42">
        <v>19374</v>
      </c>
      <c r="R3" s="12">
        <v>18</v>
      </c>
    </row>
    <row r="4" spans="1:18" ht="18" customHeight="1" x14ac:dyDescent="0.25">
      <c r="A4" s="151" t="s">
        <v>132</v>
      </c>
      <c r="B4" s="151"/>
      <c r="C4" s="151"/>
      <c r="D4" s="151"/>
      <c r="E4" s="151"/>
      <c r="F4" s="43" t="s">
        <v>21</v>
      </c>
      <c r="G4" s="156">
        <v>46156</v>
      </c>
      <c r="H4" s="157"/>
      <c r="I4" s="162" t="s">
        <v>1</v>
      </c>
      <c r="J4" s="162"/>
      <c r="K4" s="44"/>
      <c r="M4" s="2" t="s">
        <v>41</v>
      </c>
      <c r="N4" s="2" t="s">
        <v>32</v>
      </c>
      <c r="O4" s="2" t="s">
        <v>61</v>
      </c>
      <c r="P4" s="2" t="s">
        <v>34</v>
      </c>
      <c r="Q4" s="42">
        <v>19374</v>
      </c>
      <c r="R4" s="12">
        <v>18</v>
      </c>
    </row>
    <row r="5" spans="1:18" ht="18" customHeight="1" x14ac:dyDescent="0.25">
      <c r="A5" s="162" t="s">
        <v>206</v>
      </c>
      <c r="B5" s="162"/>
      <c r="C5" s="162"/>
      <c r="D5" s="162"/>
      <c r="E5" s="162"/>
      <c r="F5" s="43"/>
      <c r="G5" s="158"/>
      <c r="H5" s="159"/>
      <c r="I5" s="162" t="s">
        <v>133</v>
      </c>
      <c r="J5" s="162"/>
      <c r="K5" s="44"/>
      <c r="M5" s="2" t="s">
        <v>42</v>
      </c>
      <c r="N5" s="2" t="s">
        <v>25</v>
      </c>
      <c r="O5" s="2" t="s">
        <v>62</v>
      </c>
      <c r="P5" s="2" t="s">
        <v>34</v>
      </c>
      <c r="Q5" s="42">
        <v>19374</v>
      </c>
      <c r="R5" s="12">
        <v>17</v>
      </c>
    </row>
    <row r="6" spans="1:18" ht="18" customHeight="1" x14ac:dyDescent="0.25">
      <c r="A6" s="162" t="s">
        <v>207</v>
      </c>
      <c r="B6" s="162"/>
      <c r="C6" s="162"/>
      <c r="D6" s="162"/>
      <c r="E6" s="162"/>
      <c r="F6" s="43" t="s">
        <v>22</v>
      </c>
      <c r="G6" s="158"/>
      <c r="H6" s="159"/>
      <c r="I6" s="162" t="s">
        <v>5</v>
      </c>
      <c r="J6" s="162"/>
      <c r="K6" s="45"/>
      <c r="M6" s="2" t="s">
        <v>37</v>
      </c>
      <c r="N6" s="2" t="s">
        <v>26</v>
      </c>
      <c r="O6" s="2" t="s">
        <v>63</v>
      </c>
      <c r="P6" s="2" t="s">
        <v>34</v>
      </c>
      <c r="Q6" s="42">
        <v>19374</v>
      </c>
      <c r="R6" s="12">
        <v>24</v>
      </c>
    </row>
    <row r="7" spans="1:18" ht="18" customHeight="1" x14ac:dyDescent="0.25">
      <c r="A7" s="162" t="s">
        <v>208</v>
      </c>
      <c r="B7" s="162"/>
      <c r="C7" s="162"/>
      <c r="D7" s="162"/>
      <c r="E7" s="162"/>
      <c r="F7" s="44"/>
      <c r="G7" s="158"/>
      <c r="H7" s="159"/>
      <c r="I7" s="162" t="s">
        <v>134</v>
      </c>
      <c r="J7" s="162"/>
      <c r="K7" s="46"/>
      <c r="M7" s="2" t="s">
        <v>38</v>
      </c>
      <c r="N7" s="2"/>
      <c r="O7" s="2" t="s">
        <v>64</v>
      </c>
      <c r="P7" s="2" t="s">
        <v>34</v>
      </c>
      <c r="Q7" s="42">
        <v>19374</v>
      </c>
      <c r="R7" s="12">
        <v>20</v>
      </c>
    </row>
    <row r="8" spans="1:18" ht="18" customHeight="1" x14ac:dyDescent="0.25">
      <c r="A8" s="162" t="s">
        <v>210</v>
      </c>
      <c r="B8" s="162"/>
      <c r="C8" s="162"/>
      <c r="D8" s="162"/>
      <c r="E8" s="162"/>
      <c r="F8" s="44"/>
      <c r="G8" s="160"/>
      <c r="H8" s="161"/>
      <c r="I8" s="162" t="s">
        <v>3</v>
      </c>
      <c r="J8" s="162"/>
      <c r="K8" s="46"/>
      <c r="M8" s="2" t="s">
        <v>39</v>
      </c>
      <c r="N8" s="2"/>
      <c r="O8" s="2" t="s">
        <v>65</v>
      </c>
      <c r="P8" s="2" t="s">
        <v>31</v>
      </c>
      <c r="Q8" s="42">
        <v>17004</v>
      </c>
      <c r="R8" s="12">
        <v>16</v>
      </c>
    </row>
    <row r="9" spans="1:18" ht="18" customHeight="1" thickBot="1" x14ac:dyDescent="0.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M9" s="2" t="s">
        <v>40</v>
      </c>
      <c r="N9" s="2" t="s">
        <v>117</v>
      </c>
      <c r="O9" s="2" t="s">
        <v>66</v>
      </c>
      <c r="P9" s="2" t="s">
        <v>31</v>
      </c>
      <c r="Q9" s="42">
        <v>17004</v>
      </c>
      <c r="R9" s="12">
        <v>20</v>
      </c>
    </row>
    <row r="10" spans="1:18" ht="18" customHeight="1" thickBot="1" x14ac:dyDescent="0.3">
      <c r="A10" s="148" t="s">
        <v>7</v>
      </c>
      <c r="B10" s="148" t="s">
        <v>8</v>
      </c>
      <c r="C10" s="148" t="s">
        <v>9</v>
      </c>
      <c r="D10" s="148" t="s">
        <v>10</v>
      </c>
      <c r="E10" s="152" t="s">
        <v>11</v>
      </c>
      <c r="F10" s="152"/>
      <c r="G10" s="152"/>
      <c r="H10" s="152"/>
      <c r="I10" s="152"/>
      <c r="J10" s="148" t="s">
        <v>28</v>
      </c>
      <c r="K10" s="148" t="s">
        <v>12</v>
      </c>
      <c r="M10" s="2" t="s">
        <v>43</v>
      </c>
      <c r="N10" s="2" t="s">
        <v>118</v>
      </c>
      <c r="O10" s="2" t="s">
        <v>67</v>
      </c>
      <c r="P10" s="2" t="s">
        <v>31</v>
      </c>
      <c r="Q10" s="42">
        <v>17004</v>
      </c>
      <c r="R10" s="12">
        <v>25</v>
      </c>
    </row>
    <row r="11" spans="1:18" ht="18" customHeight="1" x14ac:dyDescent="0.25">
      <c r="A11" s="149"/>
      <c r="B11" s="149"/>
      <c r="C11" s="149"/>
      <c r="D11" s="149"/>
      <c r="E11" s="48" t="s">
        <v>135</v>
      </c>
      <c r="F11" s="49" t="s">
        <v>14</v>
      </c>
      <c r="G11" s="49" t="s">
        <v>15</v>
      </c>
      <c r="H11" s="49" t="s">
        <v>16</v>
      </c>
      <c r="I11" s="50" t="s">
        <v>136</v>
      </c>
      <c r="J11" s="149"/>
      <c r="K11" s="149"/>
      <c r="M11" s="2" t="s">
        <v>44</v>
      </c>
      <c r="N11" s="2" t="s">
        <v>119</v>
      </c>
      <c r="O11" s="2" t="s">
        <v>68</v>
      </c>
      <c r="P11" s="2" t="s">
        <v>31</v>
      </c>
      <c r="Q11" s="42">
        <v>17004</v>
      </c>
      <c r="R11" s="12">
        <v>16</v>
      </c>
    </row>
    <row r="12" spans="1:18" ht="18" customHeight="1" thickBot="1" x14ac:dyDescent="0.3">
      <c r="A12" s="150"/>
      <c r="B12" s="150"/>
      <c r="C12" s="150"/>
      <c r="D12" s="150"/>
      <c r="E12" s="51" t="s">
        <v>137</v>
      </c>
      <c r="F12" s="52" t="s">
        <v>29</v>
      </c>
      <c r="G12" s="52" t="s">
        <v>138</v>
      </c>
      <c r="H12" s="52" t="s">
        <v>17</v>
      </c>
      <c r="I12" s="53" t="s">
        <v>139</v>
      </c>
      <c r="J12" s="150"/>
      <c r="K12" s="150"/>
      <c r="M12" s="2" t="s">
        <v>45</v>
      </c>
      <c r="N12" s="2" t="s">
        <v>59</v>
      </c>
      <c r="O12" s="2" t="s">
        <v>69</v>
      </c>
      <c r="P12" s="2" t="s">
        <v>31</v>
      </c>
      <c r="Q12" s="42">
        <v>17004</v>
      </c>
      <c r="R12" s="12">
        <v>36</v>
      </c>
    </row>
    <row r="13" spans="1:18" ht="18" customHeight="1" thickBot="1" x14ac:dyDescent="0.3">
      <c r="A13" s="108">
        <f>IF(C13="","",SUBTOTAL(3,$C$13:C13))</f>
        <v>1</v>
      </c>
      <c r="B13" s="109"/>
      <c r="C13" s="109" t="s">
        <v>31</v>
      </c>
      <c r="D13" s="108">
        <v>1</v>
      </c>
      <c r="E13" s="110">
        <f t="shared" ref="E13:E17" si="0">IF(C13="","",I13/H13)</f>
        <v>24246.435845213851</v>
      </c>
      <c r="F13" s="111">
        <f>IF(C13="","",36)</f>
        <v>36</v>
      </c>
      <c r="G13" s="111">
        <f>IF(C13="","",IF(C13="Dầu DO 0,05S",0.835,IF(C13="Xăng RON 95",0.735,"")))</f>
        <v>0.83499999999999996</v>
      </c>
      <c r="H13" s="112">
        <f>IF(C13="","",IF(C13="Dầu DO 0,05S",0.982,IF(C13="Xăng RON 95",0.9735,1)))</f>
        <v>0.98199999999999998</v>
      </c>
      <c r="I13" s="113">
        <v>23810</v>
      </c>
      <c r="J13" s="114">
        <f>K13/I13</f>
        <v>28492</v>
      </c>
      <c r="K13" s="115">
        <v>678394520</v>
      </c>
      <c r="M13" s="2" t="s">
        <v>46</v>
      </c>
      <c r="N13" s="2" t="s">
        <v>103</v>
      </c>
      <c r="O13" s="2" t="s">
        <v>70</v>
      </c>
      <c r="P13" s="2" t="s">
        <v>34</v>
      </c>
      <c r="Q13" s="42">
        <v>19374</v>
      </c>
      <c r="R13" s="12"/>
    </row>
    <row r="14" spans="1:18" ht="18" customHeight="1" thickBot="1" x14ac:dyDescent="0.3">
      <c r="A14" s="108">
        <f>IF(C14="","",SUBTOTAL(3,$C$13:C14))</f>
        <v>2</v>
      </c>
      <c r="B14" s="109"/>
      <c r="C14" s="109" t="s">
        <v>31</v>
      </c>
      <c r="D14" s="108">
        <v>1</v>
      </c>
      <c r="E14" s="110">
        <f t="shared" si="0"/>
        <v>29.531568228105908</v>
      </c>
      <c r="F14" s="111">
        <f t="shared" ref="F14:F17" si="1">IF(C14="","",36)</f>
        <v>36</v>
      </c>
      <c r="G14" s="111">
        <f t="shared" ref="G14:G17" si="2">IF(C14="","",IF(C14="Dầu DO 0,05S",0.835,IF(C14="Xăng RON 95",0.735,"")))</f>
        <v>0.83499999999999996</v>
      </c>
      <c r="H14" s="112">
        <f t="shared" ref="H14:H17" si="3">IF(C14="","",IF(C14="Dầu DO 0,05S",0.982,IF(C14="Xăng RON 95",0.9735,1)))</f>
        <v>0.98199999999999998</v>
      </c>
      <c r="I14" s="113">
        <v>29</v>
      </c>
      <c r="J14" s="114">
        <f t="shared" ref="J14:J17" si="4">K14/I14</f>
        <v>29240</v>
      </c>
      <c r="K14" s="115">
        <v>847960</v>
      </c>
      <c r="M14" s="2" t="s">
        <v>47</v>
      </c>
      <c r="N14" s="2" t="s">
        <v>104</v>
      </c>
      <c r="O14" s="2" t="s">
        <v>71</v>
      </c>
      <c r="P14" s="2" t="s">
        <v>31</v>
      </c>
      <c r="Q14" s="42">
        <v>17004</v>
      </c>
      <c r="R14" s="12"/>
    </row>
    <row r="15" spans="1:18" ht="18" customHeight="1" thickBot="1" x14ac:dyDescent="0.3">
      <c r="A15" s="108">
        <f>IF(C15="","",SUBTOTAL(3,$C$13:C15))</f>
        <v>3</v>
      </c>
      <c r="B15" s="109"/>
      <c r="C15" s="109" t="s">
        <v>184</v>
      </c>
      <c r="D15" s="108">
        <v>1</v>
      </c>
      <c r="E15" s="110">
        <f t="shared" si="0"/>
        <v>1254</v>
      </c>
      <c r="F15" s="111">
        <f t="shared" si="1"/>
        <v>36</v>
      </c>
      <c r="G15" s="111" t="str">
        <f t="shared" si="2"/>
        <v/>
      </c>
      <c r="H15" s="112">
        <f t="shared" si="3"/>
        <v>1</v>
      </c>
      <c r="I15" s="113">
        <v>1254</v>
      </c>
      <c r="J15" s="114">
        <f t="shared" si="4"/>
        <v>100000</v>
      </c>
      <c r="K15" s="115">
        <v>125400000</v>
      </c>
      <c r="M15" s="2" t="s">
        <v>48</v>
      </c>
      <c r="N15" s="2" t="s">
        <v>105</v>
      </c>
      <c r="O15" s="2"/>
      <c r="P15" s="2" t="s">
        <v>183</v>
      </c>
      <c r="Q15" s="42"/>
      <c r="R15" s="12"/>
    </row>
    <row r="16" spans="1:18" ht="18" customHeight="1" thickBot="1" x14ac:dyDescent="0.3">
      <c r="A16" s="108">
        <f>IF(C16="","",SUBTOTAL(3,$C$13:C16))</f>
        <v>4</v>
      </c>
      <c r="B16" s="109"/>
      <c r="C16" s="109" t="s">
        <v>183</v>
      </c>
      <c r="D16" s="108">
        <v>1</v>
      </c>
      <c r="E16" s="110">
        <f t="shared" si="0"/>
        <v>6574.216743708269</v>
      </c>
      <c r="F16" s="111">
        <f t="shared" si="1"/>
        <v>36</v>
      </c>
      <c r="G16" s="111">
        <f t="shared" si="2"/>
        <v>0.73499999999999999</v>
      </c>
      <c r="H16" s="112">
        <f t="shared" si="3"/>
        <v>0.97350000000000003</v>
      </c>
      <c r="I16" s="113">
        <v>6400</v>
      </c>
      <c r="J16" s="114">
        <f t="shared" si="4"/>
        <v>25445</v>
      </c>
      <c r="K16" s="115">
        <v>162848000</v>
      </c>
      <c r="M16" s="2" t="s">
        <v>49</v>
      </c>
      <c r="N16" s="2" t="s">
        <v>114</v>
      </c>
      <c r="O16" s="2"/>
      <c r="P16" s="2" t="s">
        <v>187</v>
      </c>
      <c r="Q16" s="42"/>
      <c r="R16" s="12"/>
    </row>
    <row r="17" spans="1:18" ht="18" customHeight="1" thickBot="1" x14ac:dyDescent="0.3">
      <c r="A17" s="108">
        <f>IF(C17="","",SUBTOTAL(3,$C$13:C17))</f>
        <v>5</v>
      </c>
      <c r="B17" s="109"/>
      <c r="C17" s="109" t="s">
        <v>183</v>
      </c>
      <c r="D17" s="108">
        <v>1</v>
      </c>
      <c r="E17" s="110">
        <f t="shared" si="0"/>
        <v>4.1088854648176678</v>
      </c>
      <c r="F17" s="111">
        <f t="shared" si="1"/>
        <v>36</v>
      </c>
      <c r="G17" s="111">
        <f t="shared" si="2"/>
        <v>0.73499999999999999</v>
      </c>
      <c r="H17" s="112">
        <f t="shared" si="3"/>
        <v>0.97350000000000003</v>
      </c>
      <c r="I17" s="115">
        <v>4</v>
      </c>
      <c r="J17" s="114">
        <f t="shared" si="4"/>
        <v>26320</v>
      </c>
      <c r="K17" s="115">
        <v>105280</v>
      </c>
      <c r="M17" s="2" t="s">
        <v>50</v>
      </c>
      <c r="N17" s="2" t="s">
        <v>106</v>
      </c>
      <c r="O17" s="2"/>
      <c r="P17" s="2" t="s">
        <v>186</v>
      </c>
      <c r="Q17" s="42"/>
      <c r="R17" s="12"/>
    </row>
    <row r="18" spans="1:18" s="60" customFormat="1" ht="18" customHeight="1" thickBot="1" x14ac:dyDescent="0.3">
      <c r="A18" s="54"/>
      <c r="B18" s="55"/>
      <c r="C18" s="54" t="s">
        <v>20</v>
      </c>
      <c r="D18" s="54"/>
      <c r="E18" s="99">
        <f>SUM(E13:E17)</f>
        <v>32108.293042615045</v>
      </c>
      <c r="F18" s="56"/>
      <c r="G18" s="56"/>
      <c r="H18" s="56"/>
      <c r="I18" s="57">
        <f>SUM(I13:I17)</f>
        <v>31497</v>
      </c>
      <c r="J18" s="58"/>
      <c r="K18" s="59">
        <f>SUM(K13:K17)</f>
        <v>967595760</v>
      </c>
      <c r="M18" s="2" t="s">
        <v>51</v>
      </c>
      <c r="N18" s="2" t="s">
        <v>107</v>
      </c>
      <c r="O18" s="2"/>
      <c r="P18" s="2" t="s">
        <v>185</v>
      </c>
      <c r="Q18" s="42"/>
      <c r="R18" s="12"/>
    </row>
    <row r="19" spans="1:18" ht="18" customHeight="1" x14ac:dyDescent="0.25">
      <c r="A19" s="44"/>
      <c r="B19" s="44"/>
      <c r="C19" s="44"/>
      <c r="D19" s="44"/>
      <c r="E19" s="44" t="s">
        <v>23</v>
      </c>
      <c r="F19" s="44"/>
      <c r="G19" s="44"/>
      <c r="H19" s="44"/>
      <c r="I19" s="44"/>
      <c r="J19" s="44"/>
      <c r="K19" s="44"/>
      <c r="M19" s="2" t="s">
        <v>52</v>
      </c>
      <c r="N19" s="2" t="s">
        <v>108</v>
      </c>
      <c r="O19" s="2"/>
      <c r="P19" s="2" t="s">
        <v>78</v>
      </c>
      <c r="Q19" s="42">
        <v>82011</v>
      </c>
      <c r="R19" s="30"/>
    </row>
    <row r="20" spans="1:18" ht="18" customHeight="1" x14ac:dyDescent="0.25">
      <c r="A20" s="151" t="str">
        <f>CONCATENATE("Tổng cộng: ",MAX(A13:A17)," khoản")</f>
        <v>Tổng cộng: 5 khoản</v>
      </c>
      <c r="B20" s="151"/>
      <c r="C20" s="151"/>
      <c r="D20" s="151"/>
      <c r="E20" s="38" t="str">
        <f>CONCATENATE("Số lượng: ",I18," lít,kg.")</f>
        <v>Số lượng: 31497 lít,kg.</v>
      </c>
      <c r="M20" s="2" t="s">
        <v>53</v>
      </c>
      <c r="N20" s="2" t="s">
        <v>109</v>
      </c>
      <c r="O20" s="2"/>
      <c r="P20" s="2" t="s">
        <v>79</v>
      </c>
      <c r="Q20" s="42">
        <v>82011</v>
      </c>
      <c r="R20" s="12"/>
    </row>
    <row r="21" spans="1:18" ht="18" customHeight="1" x14ac:dyDescent="0.25">
      <c r="A21" s="38" t="str">
        <f>CONCATENATE("Thành tiền: ",[1]!vnd($K$18))</f>
        <v>Thành tiền: Chín trăm sáu mươi bảy triệu, năm trăm chín mươi lăm ngàn, bảy trăm sáu mươi đồng.</v>
      </c>
      <c r="M21" s="2" t="s">
        <v>54</v>
      </c>
      <c r="N21" s="2" t="s">
        <v>110</v>
      </c>
      <c r="O21" s="2"/>
      <c r="P21" s="2" t="s">
        <v>80</v>
      </c>
      <c r="Q21" s="42">
        <v>82011</v>
      </c>
      <c r="R21" s="12"/>
    </row>
    <row r="22" spans="1:18" ht="18" customHeight="1" x14ac:dyDescent="0.25">
      <c r="A22" s="151" t="s">
        <v>140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M22" s="2" t="s">
        <v>55</v>
      </c>
      <c r="N22" s="2" t="s">
        <v>111</v>
      </c>
      <c r="O22" s="2"/>
      <c r="P22" s="2" t="s">
        <v>33</v>
      </c>
      <c r="Q22" s="42">
        <v>82011</v>
      </c>
      <c r="R22" s="12"/>
    </row>
    <row r="23" spans="1:18" ht="18" customHeight="1" x14ac:dyDescent="0.25">
      <c r="M23" s="2" t="s">
        <v>56</v>
      </c>
      <c r="N23" s="2" t="s">
        <v>112</v>
      </c>
      <c r="O23" s="2"/>
      <c r="P23" s="2" t="s">
        <v>81</v>
      </c>
      <c r="Q23" s="42">
        <v>82011</v>
      </c>
      <c r="R23" s="12"/>
    </row>
    <row r="24" spans="1:18" s="41" customFormat="1" ht="18" customHeight="1" x14ac:dyDescent="0.25">
      <c r="A24" s="147" t="s">
        <v>141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M24" s="2" t="s">
        <v>57</v>
      </c>
      <c r="N24" s="2" t="s">
        <v>113</v>
      </c>
      <c r="O24" s="2"/>
      <c r="P24" s="2" t="s">
        <v>124</v>
      </c>
      <c r="Q24" s="42">
        <v>82011</v>
      </c>
      <c r="R24" s="12"/>
    </row>
    <row r="25" spans="1:18" ht="18" customHeight="1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M25" s="2" t="s">
        <v>58</v>
      </c>
      <c r="N25" s="2" t="s">
        <v>102</v>
      </c>
      <c r="O25" s="2"/>
      <c r="P25" s="2" t="s">
        <v>82</v>
      </c>
      <c r="Q25" s="42">
        <v>82011</v>
      </c>
      <c r="R25" s="34"/>
    </row>
    <row r="26" spans="1:18" ht="18" customHeight="1" x14ac:dyDescent="0.25">
      <c r="A26" s="60"/>
      <c r="M26" s="2" t="s">
        <v>72</v>
      </c>
      <c r="N26" s="2" t="s">
        <v>94</v>
      </c>
      <c r="O26" s="2"/>
      <c r="P26" s="2" t="s">
        <v>83</v>
      </c>
      <c r="Q26" s="42">
        <v>82011</v>
      </c>
      <c r="R26" s="12"/>
    </row>
    <row r="27" spans="1:18" ht="18" customHeight="1" x14ac:dyDescent="0.25">
      <c r="A27" s="60"/>
      <c r="M27" s="2" t="s">
        <v>95</v>
      </c>
      <c r="N27" s="2" t="s">
        <v>96</v>
      </c>
      <c r="O27" s="2"/>
      <c r="P27" s="2" t="s">
        <v>88</v>
      </c>
      <c r="Q27" s="42">
        <v>82011</v>
      </c>
      <c r="R27" s="12"/>
    </row>
    <row r="28" spans="1:18" ht="18" customHeight="1" x14ac:dyDescent="0.25">
      <c r="A28" s="60"/>
      <c r="M28" s="2" t="s">
        <v>120</v>
      </c>
      <c r="N28" s="2" t="s">
        <v>98</v>
      </c>
      <c r="O28" s="2"/>
      <c r="P28" s="2" t="s">
        <v>87</v>
      </c>
      <c r="Q28" s="42">
        <v>82011</v>
      </c>
      <c r="R28" s="12"/>
    </row>
    <row r="29" spans="1:18" ht="18" customHeight="1" x14ac:dyDescent="0.25">
      <c r="A29" s="60"/>
      <c r="M29" s="2" t="s">
        <v>97</v>
      </c>
      <c r="N29" s="2" t="s">
        <v>121</v>
      </c>
      <c r="O29" s="2"/>
      <c r="P29" s="2" t="s">
        <v>84</v>
      </c>
      <c r="Q29" s="42">
        <v>82011</v>
      </c>
      <c r="R29" s="12"/>
    </row>
    <row r="30" spans="1:18" s="41" customFormat="1" ht="18" customHeight="1" x14ac:dyDescent="0.25">
      <c r="A30" s="147" t="s">
        <v>209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M30" s="2" t="s">
        <v>99</v>
      </c>
      <c r="N30" s="2"/>
      <c r="O30" s="2"/>
      <c r="P30" s="2" t="s">
        <v>85</v>
      </c>
      <c r="Q30" s="42">
        <v>82011</v>
      </c>
      <c r="R30" s="12"/>
    </row>
    <row r="31" spans="1:18" ht="18" customHeight="1" x14ac:dyDescent="0.25">
      <c r="M31" s="2" t="s">
        <v>101</v>
      </c>
      <c r="N31" s="2" t="s">
        <v>100</v>
      </c>
      <c r="O31" s="9"/>
      <c r="P31" s="2" t="s">
        <v>86</v>
      </c>
      <c r="Q31" s="42">
        <v>82011</v>
      </c>
      <c r="R31" s="34"/>
    </row>
    <row r="32" spans="1:18" ht="18" customHeight="1" x14ac:dyDescent="0.25">
      <c r="M32" s="2" t="s">
        <v>125</v>
      </c>
      <c r="N32" s="2" t="s">
        <v>142</v>
      </c>
      <c r="O32" s="2"/>
      <c r="P32" s="2" t="s">
        <v>184</v>
      </c>
      <c r="Q32" s="62"/>
      <c r="R32" s="12"/>
    </row>
    <row r="33" spans="13:18" ht="18" customHeight="1" x14ac:dyDescent="0.25">
      <c r="M33" s="2"/>
      <c r="N33" s="2"/>
      <c r="O33" s="2"/>
      <c r="P33" s="2" t="s">
        <v>80</v>
      </c>
      <c r="Q33" s="36">
        <v>113550</v>
      </c>
      <c r="R33" s="12"/>
    </row>
    <row r="34" spans="13:18" ht="18" customHeight="1" x14ac:dyDescent="0.25">
      <c r="M34" s="2"/>
      <c r="N34" s="2"/>
      <c r="O34" s="2"/>
      <c r="P34" s="2" t="s">
        <v>193</v>
      </c>
      <c r="Q34" s="36">
        <v>75028</v>
      </c>
      <c r="R34" s="12"/>
    </row>
    <row r="35" spans="13:18" ht="18" customHeight="1" x14ac:dyDescent="0.25">
      <c r="M35" s="2"/>
      <c r="N35" s="2"/>
      <c r="O35" s="2"/>
      <c r="P35" s="2" t="s">
        <v>194</v>
      </c>
      <c r="Q35" s="36">
        <v>80536</v>
      </c>
      <c r="R35" s="12"/>
    </row>
    <row r="36" spans="13:18" ht="18" customHeight="1" x14ac:dyDescent="0.25">
      <c r="M36" s="2"/>
      <c r="N36" s="2"/>
      <c r="O36" s="2"/>
      <c r="P36" s="2" t="s">
        <v>195</v>
      </c>
      <c r="Q36" s="36">
        <v>75230</v>
      </c>
      <c r="R36" s="12"/>
    </row>
  </sheetData>
  <mergeCells count="25">
    <mergeCell ref="A2:D2"/>
    <mergeCell ref="E2:K2"/>
    <mergeCell ref="A3:D3"/>
    <mergeCell ref="A4:E4"/>
    <mergeCell ref="G4:H8"/>
    <mergeCell ref="I4:J4"/>
    <mergeCell ref="A5:E5"/>
    <mergeCell ref="I5:J5"/>
    <mergeCell ref="A6:E6"/>
    <mergeCell ref="I6:J6"/>
    <mergeCell ref="A7:E7"/>
    <mergeCell ref="I7:J7"/>
    <mergeCell ref="A8:E8"/>
    <mergeCell ref="I8:J8"/>
    <mergeCell ref="A30:K30"/>
    <mergeCell ref="J10:J12"/>
    <mergeCell ref="K10:K12"/>
    <mergeCell ref="A20:D20"/>
    <mergeCell ref="A22:K22"/>
    <mergeCell ref="A24:K24"/>
    <mergeCell ref="A10:A12"/>
    <mergeCell ref="B10:B12"/>
    <mergeCell ref="C10:C12"/>
    <mergeCell ref="D10:D12"/>
    <mergeCell ref="E10:I10"/>
  </mergeCells>
  <phoneticPr fontId="3" type="noConversion"/>
  <dataValidations count="1">
    <dataValidation type="list" showInputMessage="1" showErrorMessage="1" sqref="C13:C17" xr:uid="{66E8491B-FFE3-4899-9304-31A7099690B3}">
      <formula1>$P$3:$P$36</formula1>
    </dataValidation>
  </dataValidations>
  <pageMargins left="0.39370078740157483" right="0.39370078740157483" top="0.39370078740157483" bottom="0.39370078740157483" header="0" footer="0"/>
  <pageSetup paperSize="9" orientation="landscape" r:id="rId1"/>
  <headerFooter scaleWithDoc="0"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U39"/>
  <sheetViews>
    <sheetView tabSelected="1" zoomScaleNormal="100" zoomScaleSheetLayoutView="100" workbookViewId="0">
      <selection activeCell="J20" sqref="J20"/>
    </sheetView>
  </sheetViews>
  <sheetFormatPr defaultColWidth="9.140625" defaultRowHeight="18" customHeight="1" x14ac:dyDescent="0.25"/>
  <cols>
    <col min="1" max="1" width="6.85546875" style="38" customWidth="1"/>
    <col min="2" max="2" width="11.7109375" style="38" customWidth="1"/>
    <col min="3" max="3" width="25.5703125" style="38" customWidth="1"/>
    <col min="4" max="4" width="7.140625" style="38" customWidth="1"/>
    <col min="5" max="5" width="13.42578125" style="38" customWidth="1"/>
    <col min="6" max="6" width="9.85546875" style="38" bestFit="1" customWidth="1"/>
    <col min="7" max="7" width="9" style="38" bestFit="1" customWidth="1"/>
    <col min="8" max="8" width="8.28515625" style="38" bestFit="1" customWidth="1"/>
    <col min="9" max="9" width="15" style="38" bestFit="1" customWidth="1"/>
    <col min="10" max="10" width="16.85546875" style="38" customWidth="1"/>
    <col min="11" max="11" width="17.7109375" style="38" customWidth="1"/>
    <col min="12" max="12" width="9.140625" style="38" customWidth="1"/>
    <col min="13" max="13" width="9.28515625" style="38" bestFit="1" customWidth="1"/>
    <col min="14" max="15" width="26.28515625" style="38" customWidth="1"/>
    <col min="16" max="16" width="22.42578125" style="38" customWidth="1"/>
    <col min="17" max="17" width="11.7109375" style="38" bestFit="1" customWidth="1"/>
    <col min="18" max="18" width="22" style="38" bestFit="1" customWidth="1"/>
    <col min="19" max="19" width="11.42578125" style="38" customWidth="1"/>
    <col min="20" max="20" width="14.85546875" style="38" customWidth="1"/>
    <col min="21" max="16384" width="9.140625" style="38"/>
  </cols>
  <sheetData>
    <row r="1" spans="1:21" ht="18" customHeight="1" x14ac:dyDescent="0.25">
      <c r="A1" s="37"/>
      <c r="J1" s="39"/>
      <c r="K1" s="40" t="s">
        <v>19</v>
      </c>
      <c r="L1" s="124"/>
    </row>
    <row r="2" spans="1:21" ht="18" customHeight="1" x14ac:dyDescent="0.25">
      <c r="A2" s="153" t="s">
        <v>24</v>
      </c>
      <c r="B2" s="153"/>
      <c r="C2" s="153"/>
      <c r="D2" s="153"/>
      <c r="E2" s="154" t="s">
        <v>0</v>
      </c>
      <c r="F2" s="154"/>
      <c r="G2" s="154"/>
      <c r="H2" s="154"/>
      <c r="I2" s="154"/>
      <c r="J2" s="154"/>
      <c r="K2" s="154"/>
      <c r="L2" s="116"/>
      <c r="N2" s="125" t="s">
        <v>212</v>
      </c>
      <c r="O2" s="125" t="s">
        <v>211</v>
      </c>
      <c r="P2" s="125" t="s">
        <v>76</v>
      </c>
      <c r="Q2" s="125" t="s">
        <v>73</v>
      </c>
      <c r="R2" s="125" t="s">
        <v>74</v>
      </c>
      <c r="S2" s="125" t="s">
        <v>75</v>
      </c>
      <c r="T2" s="125" t="s">
        <v>116</v>
      </c>
      <c r="U2" s="125" t="s">
        <v>129</v>
      </c>
    </row>
    <row r="3" spans="1:21" ht="18" customHeight="1" x14ac:dyDescent="0.25">
      <c r="A3" s="155" t="s">
        <v>27</v>
      </c>
      <c r="B3" s="155"/>
      <c r="C3" s="155"/>
      <c r="D3" s="155"/>
      <c r="E3" s="41"/>
      <c r="F3" s="41"/>
      <c r="G3" s="41"/>
      <c r="H3" s="41"/>
      <c r="I3" s="41"/>
      <c r="J3" s="41"/>
      <c r="K3" s="41"/>
      <c r="L3" s="41"/>
      <c r="M3" s="126">
        <f>ROUND(K6/100*VLOOKUP(J6,$Q$3:$T$12,4,0),0)</f>
        <v>144</v>
      </c>
      <c r="N3" s="38" t="s">
        <v>221</v>
      </c>
      <c r="O3" s="38" t="s">
        <v>36</v>
      </c>
      <c r="P3" s="38" t="s">
        <v>59</v>
      </c>
      <c r="Q3" s="38" t="s">
        <v>60</v>
      </c>
      <c r="R3" s="38" t="s">
        <v>183</v>
      </c>
      <c r="S3" s="127">
        <v>20656</v>
      </c>
      <c r="T3" s="128">
        <v>18</v>
      </c>
      <c r="U3" s="127">
        <v>3925</v>
      </c>
    </row>
    <row r="4" spans="1:21" ht="18" customHeight="1" x14ac:dyDescent="0.25">
      <c r="A4" s="162" t="s">
        <v>91</v>
      </c>
      <c r="B4" s="162"/>
      <c r="C4" s="162" t="s">
        <v>92</v>
      </c>
      <c r="D4" s="162"/>
      <c r="E4" s="162"/>
      <c r="F4" s="119" t="s">
        <v>21</v>
      </c>
      <c r="G4" s="156">
        <v>46203</v>
      </c>
      <c r="H4" s="157"/>
      <c r="I4" s="162" t="s">
        <v>1</v>
      </c>
      <c r="J4" s="162"/>
      <c r="K4" s="123"/>
      <c r="L4" s="123"/>
      <c r="N4" s="38" t="s">
        <v>222</v>
      </c>
      <c r="O4" s="38" t="s">
        <v>41</v>
      </c>
      <c r="P4" s="38" t="s">
        <v>103</v>
      </c>
      <c r="Q4" s="38" t="s">
        <v>61</v>
      </c>
      <c r="R4" s="38" t="s">
        <v>183</v>
      </c>
      <c r="S4" s="127"/>
      <c r="T4" s="128">
        <v>18</v>
      </c>
      <c r="U4" s="127">
        <v>475</v>
      </c>
    </row>
    <row r="5" spans="1:21" ht="18" customHeight="1" x14ac:dyDescent="0.25">
      <c r="A5" s="162" t="s">
        <v>93</v>
      </c>
      <c r="B5" s="162"/>
      <c r="C5" s="162" t="s">
        <v>217</v>
      </c>
      <c r="D5" s="162"/>
      <c r="E5" s="123"/>
      <c r="F5" s="119"/>
      <c r="G5" s="158"/>
      <c r="H5" s="159"/>
      <c r="I5" s="162" t="s">
        <v>2</v>
      </c>
      <c r="J5" s="162"/>
      <c r="K5" s="123"/>
      <c r="L5" s="123"/>
      <c r="N5" s="38" t="s">
        <v>223</v>
      </c>
      <c r="O5" s="38" t="s">
        <v>42</v>
      </c>
      <c r="P5" s="38" t="s">
        <v>104</v>
      </c>
      <c r="Q5" s="38" t="s">
        <v>64</v>
      </c>
      <c r="R5" s="38" t="s">
        <v>183</v>
      </c>
      <c r="S5" s="127"/>
      <c r="T5" s="128">
        <v>15</v>
      </c>
      <c r="U5" s="127"/>
    </row>
    <row r="6" spans="1:21" ht="18" customHeight="1" x14ac:dyDescent="0.25">
      <c r="A6" s="162" t="s">
        <v>90</v>
      </c>
      <c r="B6" s="162"/>
      <c r="C6" s="162" t="s">
        <v>101</v>
      </c>
      <c r="D6" s="162"/>
      <c r="E6" s="129"/>
      <c r="F6" s="119" t="s">
        <v>22</v>
      </c>
      <c r="G6" s="158"/>
      <c r="H6" s="159"/>
      <c r="I6" s="123" t="s">
        <v>122</v>
      </c>
      <c r="J6" s="121" t="s">
        <v>69</v>
      </c>
      <c r="K6" s="130">
        <v>400</v>
      </c>
      <c r="L6" s="45"/>
      <c r="N6" s="38" t="s">
        <v>224</v>
      </c>
      <c r="O6" s="38" t="s">
        <v>37</v>
      </c>
      <c r="P6" s="38" t="s">
        <v>105</v>
      </c>
      <c r="Q6" s="38" t="s">
        <v>191</v>
      </c>
      <c r="R6" s="38" t="s">
        <v>31</v>
      </c>
      <c r="S6" s="127">
        <v>27617</v>
      </c>
      <c r="T6" s="128">
        <v>14</v>
      </c>
      <c r="U6" s="127"/>
    </row>
    <row r="7" spans="1:21" ht="18" customHeight="1" x14ac:dyDescent="0.25">
      <c r="A7" s="162" t="s">
        <v>35</v>
      </c>
      <c r="B7" s="162"/>
      <c r="C7" s="165"/>
      <c r="D7" s="165"/>
      <c r="E7" s="123"/>
      <c r="F7" s="123"/>
      <c r="G7" s="158"/>
      <c r="H7" s="159"/>
      <c r="I7" s="162" t="s">
        <v>3</v>
      </c>
      <c r="J7" s="162"/>
      <c r="K7" s="46"/>
      <c r="L7" s="46"/>
      <c r="N7" s="38" t="s">
        <v>225</v>
      </c>
      <c r="O7" s="38" t="s">
        <v>38</v>
      </c>
      <c r="P7" s="38" t="s">
        <v>114</v>
      </c>
      <c r="Q7" s="38" t="s">
        <v>65</v>
      </c>
      <c r="R7" s="38" t="s">
        <v>31</v>
      </c>
      <c r="S7" s="127"/>
      <c r="T7" s="128">
        <v>14</v>
      </c>
      <c r="U7" s="127"/>
    </row>
    <row r="8" spans="1:21" ht="18" customHeight="1" x14ac:dyDescent="0.25">
      <c r="A8" s="162" t="s">
        <v>89</v>
      </c>
      <c r="B8" s="162"/>
      <c r="C8" s="162" t="s">
        <v>100</v>
      </c>
      <c r="D8" s="162"/>
      <c r="E8" s="123"/>
      <c r="F8" s="123"/>
      <c r="G8" s="158"/>
      <c r="H8" s="159"/>
      <c r="I8" s="162" t="s">
        <v>4</v>
      </c>
      <c r="J8" s="162"/>
      <c r="K8" s="46"/>
      <c r="L8" s="46"/>
      <c r="N8" s="38" t="s">
        <v>226</v>
      </c>
      <c r="O8" s="38" t="s">
        <v>39</v>
      </c>
      <c r="P8" s="38" t="s">
        <v>106</v>
      </c>
      <c r="Q8" s="38" t="s">
        <v>66</v>
      </c>
      <c r="R8" s="38" t="s">
        <v>31</v>
      </c>
      <c r="S8" s="127"/>
      <c r="T8" s="128">
        <v>20</v>
      </c>
      <c r="U8" s="127">
        <v>36834</v>
      </c>
    </row>
    <row r="9" spans="1:21" ht="18" customHeight="1" x14ac:dyDescent="0.25">
      <c r="A9" s="164" t="s">
        <v>5</v>
      </c>
      <c r="B9" s="164"/>
      <c r="C9" s="164"/>
      <c r="D9" s="164"/>
      <c r="E9" s="123"/>
      <c r="F9" s="123"/>
      <c r="G9" s="160"/>
      <c r="H9" s="161"/>
      <c r="I9" s="162" t="s">
        <v>6</v>
      </c>
      <c r="J9" s="162"/>
      <c r="K9" s="123"/>
      <c r="L9" s="123"/>
      <c r="N9" s="38" t="s">
        <v>227</v>
      </c>
      <c r="O9" s="38" t="s">
        <v>40</v>
      </c>
      <c r="P9" s="38" t="s">
        <v>192</v>
      </c>
      <c r="Q9" s="38" t="s">
        <v>67</v>
      </c>
      <c r="R9" s="38" t="s">
        <v>31</v>
      </c>
      <c r="S9" s="127"/>
      <c r="T9" s="128">
        <v>20</v>
      </c>
      <c r="U9" s="127"/>
    </row>
    <row r="10" spans="1:21" ht="18" customHeight="1" thickBot="1" x14ac:dyDescent="0.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123"/>
      <c r="N10" s="38" t="s">
        <v>228</v>
      </c>
      <c r="O10" s="38" t="s">
        <v>43</v>
      </c>
      <c r="P10" s="38" t="s">
        <v>190</v>
      </c>
      <c r="Q10" s="38" t="s">
        <v>68</v>
      </c>
      <c r="R10" s="38" t="s">
        <v>31</v>
      </c>
      <c r="S10" s="127"/>
      <c r="T10" s="128">
        <v>16</v>
      </c>
      <c r="U10" s="127"/>
    </row>
    <row r="11" spans="1:21" ht="18" customHeight="1" thickBot="1" x14ac:dyDescent="0.3">
      <c r="A11" s="163" t="s">
        <v>7</v>
      </c>
      <c r="B11" s="163" t="s">
        <v>8</v>
      </c>
      <c r="C11" s="163" t="s">
        <v>9</v>
      </c>
      <c r="D11" s="163" t="s">
        <v>10</v>
      </c>
      <c r="E11" s="163" t="s">
        <v>11</v>
      </c>
      <c r="F11" s="163"/>
      <c r="G11" s="163"/>
      <c r="H11" s="163"/>
      <c r="I11" s="163"/>
      <c r="J11" s="163" t="s">
        <v>28</v>
      </c>
      <c r="K11" s="163" t="s">
        <v>12</v>
      </c>
      <c r="L11" s="117"/>
      <c r="N11" s="38" t="s">
        <v>229</v>
      </c>
      <c r="O11" s="38" t="s">
        <v>220</v>
      </c>
      <c r="P11" s="38" t="s">
        <v>109</v>
      </c>
      <c r="Q11" s="38" t="s">
        <v>69</v>
      </c>
      <c r="R11" s="38" t="s">
        <v>31</v>
      </c>
      <c r="S11" s="127"/>
      <c r="T11" s="128">
        <v>36</v>
      </c>
      <c r="U11" s="127"/>
    </row>
    <row r="12" spans="1:21" ht="18" customHeight="1" thickBot="1" x14ac:dyDescent="0.3">
      <c r="A12" s="163"/>
      <c r="B12" s="163"/>
      <c r="C12" s="163"/>
      <c r="D12" s="163"/>
      <c r="E12" s="131" t="s">
        <v>13</v>
      </c>
      <c r="F12" s="131" t="s">
        <v>14</v>
      </c>
      <c r="G12" s="131" t="s">
        <v>15</v>
      </c>
      <c r="H12" s="131" t="s">
        <v>16</v>
      </c>
      <c r="I12" s="131" t="s">
        <v>18</v>
      </c>
      <c r="J12" s="163"/>
      <c r="K12" s="163"/>
      <c r="L12" s="117"/>
      <c r="N12" s="38" t="s">
        <v>230</v>
      </c>
      <c r="O12" s="38" t="s">
        <v>218</v>
      </c>
      <c r="P12" s="38" t="s">
        <v>110</v>
      </c>
      <c r="S12" s="127"/>
      <c r="T12" s="128"/>
      <c r="U12" s="127"/>
    </row>
    <row r="13" spans="1:21" ht="18" customHeight="1" thickBot="1" x14ac:dyDescent="0.3">
      <c r="A13" s="163"/>
      <c r="B13" s="163"/>
      <c r="C13" s="163"/>
      <c r="D13" s="163"/>
      <c r="E13" s="131" t="s">
        <v>237</v>
      </c>
      <c r="F13" s="131" t="s">
        <v>29</v>
      </c>
      <c r="G13" s="131" t="s">
        <v>138</v>
      </c>
      <c r="H13" s="131" t="s">
        <v>17</v>
      </c>
      <c r="I13" s="131" t="s">
        <v>139</v>
      </c>
      <c r="J13" s="163"/>
      <c r="K13" s="163"/>
      <c r="L13" s="117"/>
      <c r="N13" s="38" t="s">
        <v>231</v>
      </c>
      <c r="O13" s="38" t="s">
        <v>219</v>
      </c>
      <c r="P13" s="38" t="s">
        <v>111</v>
      </c>
      <c r="Q13" s="38" t="s">
        <v>70</v>
      </c>
      <c r="R13" s="38" t="s">
        <v>183</v>
      </c>
      <c r="S13" s="127"/>
      <c r="T13" s="128"/>
      <c r="U13" s="127"/>
    </row>
    <row r="14" spans="1:21" ht="18" customHeight="1" thickBot="1" x14ac:dyDescent="0.3">
      <c r="A14" s="132">
        <f>IF(C14="","",SUBTOTAL(3,$C$14:C14))</f>
        <v>1</v>
      </c>
      <c r="B14" s="133"/>
      <c r="C14" s="133" t="str">
        <f>VLOOKUP(J6,$Q$3:$R$39,2,FALSE)</f>
        <v>Dầu DO 0,05S</v>
      </c>
      <c r="D14" s="132">
        <v>1</v>
      </c>
      <c r="E14" s="134">
        <f>IF(C14="","",I14/H14)</f>
        <v>146.63951120162932</v>
      </c>
      <c r="F14" s="135">
        <f>IF(C14="","",35)</f>
        <v>35</v>
      </c>
      <c r="G14" s="135">
        <f>IF(C14="","",IF(C14="Dầu DO 0,05S",0.835,IF(C14="Xăng RON 95",0.735,"")))</f>
        <v>0.83499999999999996</v>
      </c>
      <c r="H14" s="135">
        <f>IF(C14="","",IF(C14="Dầu DO 0,05S",0.982,IF(C14="Xăng RON 95",0.9735,1)))</f>
        <v>0.98199999999999998</v>
      </c>
      <c r="I14" s="136">
        <f>M3</f>
        <v>144</v>
      </c>
      <c r="J14" s="137">
        <f t="shared" ref="J14:J17" si="0">IF(C14&lt;&gt;"",VLOOKUP(C14,$R$3:$S$39,2,0),"")</f>
        <v>27617</v>
      </c>
      <c r="K14" s="137">
        <f t="shared" ref="K14:K18" si="1">IF(C14&lt;&gt;0,I14*J14,"")</f>
        <v>3976848</v>
      </c>
      <c r="L14" s="138"/>
      <c r="N14" s="38" t="s">
        <v>232</v>
      </c>
      <c r="O14" s="38" t="s">
        <v>238</v>
      </c>
      <c r="P14" s="38" t="s">
        <v>112</v>
      </c>
      <c r="Q14" s="38" t="s">
        <v>71</v>
      </c>
      <c r="R14" s="38" t="s">
        <v>31</v>
      </c>
      <c r="S14" s="127"/>
      <c r="T14" s="128"/>
      <c r="U14" s="127"/>
    </row>
    <row r="15" spans="1:21" ht="18" customHeight="1" thickBot="1" x14ac:dyDescent="0.3">
      <c r="A15" s="132" t="str">
        <f>IF(C15="","",SUBTOTAL(3,$C$14:C15))</f>
        <v/>
      </c>
      <c r="B15" s="133"/>
      <c r="C15" s="133"/>
      <c r="D15" s="132" t="str">
        <f>IF(C15&lt;&gt;"",1,"")</f>
        <v/>
      </c>
      <c r="E15" s="134" t="str">
        <f t="shared" ref="E15:E18" si="2">IF(C15="","",I15/H15)</f>
        <v/>
      </c>
      <c r="F15" s="135" t="str">
        <f t="shared" ref="F15:F18" si="3">IF(C15="","",35)</f>
        <v/>
      </c>
      <c r="G15" s="135" t="str">
        <f t="shared" ref="G15:G18" si="4">IF(C15="","",IF(C15="Dầu DO 0,05S",0.835,IF(C15="Xăng RON 95",0.735,"")))</f>
        <v/>
      </c>
      <c r="H15" s="135" t="str">
        <f t="shared" ref="H15:H18" si="5">IF(C15="","",IF(C15="Dầu DO 0,05S",0.982,IF(C15="Xăng RON 95",0.9735,1)))</f>
        <v/>
      </c>
      <c r="I15" s="136" t="str">
        <f t="shared" ref="I15:I17" si="6">IF(C15="","",ROUND(I14*0.04,0))</f>
        <v/>
      </c>
      <c r="J15" s="137" t="str">
        <f t="shared" si="0"/>
        <v/>
      </c>
      <c r="K15" s="137" t="str">
        <f t="shared" si="1"/>
        <v/>
      </c>
      <c r="L15" s="138"/>
      <c r="N15" s="38" t="s">
        <v>233</v>
      </c>
      <c r="P15" s="38" t="s">
        <v>113</v>
      </c>
      <c r="S15" s="127"/>
      <c r="T15" s="128"/>
      <c r="U15" s="127"/>
    </row>
    <row r="16" spans="1:21" ht="18" customHeight="1" thickBot="1" x14ac:dyDescent="0.3">
      <c r="A16" s="132" t="str">
        <f>IF(C16="","",SUBTOTAL(3,$C$14:C16))</f>
        <v/>
      </c>
      <c r="B16" s="133"/>
      <c r="C16" s="133"/>
      <c r="D16" s="132" t="str">
        <f t="shared" ref="D16:D18" si="7">IF(C16&lt;&gt;"",1,"")</f>
        <v/>
      </c>
      <c r="E16" s="134" t="str">
        <f t="shared" si="2"/>
        <v/>
      </c>
      <c r="F16" s="135" t="str">
        <f t="shared" si="3"/>
        <v/>
      </c>
      <c r="G16" s="135" t="str">
        <f t="shared" si="4"/>
        <v/>
      </c>
      <c r="H16" s="135" t="str">
        <f t="shared" si="5"/>
        <v/>
      </c>
      <c r="I16" s="136" t="str">
        <f t="shared" si="6"/>
        <v/>
      </c>
      <c r="J16" s="137" t="str">
        <f t="shared" si="0"/>
        <v/>
      </c>
      <c r="K16" s="137" t="str">
        <f>IF(C16&lt;&gt;0,I16*J16,"")</f>
        <v/>
      </c>
      <c r="L16" s="138"/>
      <c r="N16" s="38" t="s">
        <v>234</v>
      </c>
      <c r="P16" s="38" t="s">
        <v>102</v>
      </c>
      <c r="R16" s="38" t="s">
        <v>187</v>
      </c>
      <c r="S16" s="127">
        <v>45530</v>
      </c>
      <c r="T16" s="128"/>
      <c r="U16" s="127"/>
    </row>
    <row r="17" spans="1:21" ht="18" customHeight="1" thickBot="1" x14ac:dyDescent="0.3">
      <c r="A17" s="132" t="str">
        <f>IF(C17="","",SUBTOTAL(3,$C$14:C17))</f>
        <v/>
      </c>
      <c r="B17" s="133"/>
      <c r="C17" s="133"/>
      <c r="D17" s="132" t="str">
        <f t="shared" si="7"/>
        <v/>
      </c>
      <c r="E17" s="134" t="str">
        <f t="shared" si="2"/>
        <v/>
      </c>
      <c r="F17" s="135" t="str">
        <f t="shared" si="3"/>
        <v/>
      </c>
      <c r="G17" s="135" t="str">
        <f t="shared" si="4"/>
        <v/>
      </c>
      <c r="H17" s="135" t="str">
        <f t="shared" si="5"/>
        <v/>
      </c>
      <c r="I17" s="136" t="str">
        <f t="shared" si="6"/>
        <v/>
      </c>
      <c r="J17" s="137" t="str">
        <f t="shared" si="0"/>
        <v/>
      </c>
      <c r="K17" s="137" t="str">
        <f t="shared" si="1"/>
        <v/>
      </c>
      <c r="L17" s="138"/>
      <c r="N17" s="38" t="s">
        <v>235</v>
      </c>
      <c r="P17" s="38" t="s">
        <v>204</v>
      </c>
      <c r="R17" s="38" t="s">
        <v>186</v>
      </c>
      <c r="S17" s="127">
        <v>54450</v>
      </c>
      <c r="T17" s="128"/>
      <c r="U17" s="127"/>
    </row>
    <row r="18" spans="1:21" ht="18" customHeight="1" thickBot="1" x14ac:dyDescent="0.3">
      <c r="A18" s="132" t="str">
        <f>IF(C18="","",SUBTOTAL(3,$C$14:C18))</f>
        <v/>
      </c>
      <c r="B18" s="133"/>
      <c r="C18" s="133"/>
      <c r="D18" s="132" t="str">
        <f t="shared" si="7"/>
        <v/>
      </c>
      <c r="E18" s="134" t="str">
        <f t="shared" si="2"/>
        <v/>
      </c>
      <c r="F18" s="135" t="str">
        <f t="shared" si="3"/>
        <v/>
      </c>
      <c r="G18" s="135" t="str">
        <f t="shared" si="4"/>
        <v/>
      </c>
      <c r="H18" s="135" t="str">
        <f t="shared" si="5"/>
        <v/>
      </c>
      <c r="I18" s="136" t="str">
        <f>IF(C18="","",ROUND(I17*0.04,0))</f>
        <v/>
      </c>
      <c r="J18" s="137" t="str">
        <f>IF(C18&lt;&gt;"",VLOOKUP(C18,$R$3:$S$39,2,0),"")</f>
        <v/>
      </c>
      <c r="K18" s="137" t="str">
        <f t="shared" si="1"/>
        <v/>
      </c>
      <c r="L18" s="138"/>
      <c r="N18" s="38" t="s">
        <v>213</v>
      </c>
      <c r="O18" s="38" t="s">
        <v>72</v>
      </c>
      <c r="P18" s="38" t="s">
        <v>94</v>
      </c>
      <c r="R18" s="38" t="s">
        <v>185</v>
      </c>
      <c r="S18" s="127">
        <v>92516</v>
      </c>
      <c r="T18" s="128"/>
      <c r="U18" s="127"/>
    </row>
    <row r="19" spans="1:21" s="60" customFormat="1" ht="18" customHeight="1" thickBot="1" x14ac:dyDescent="0.3">
      <c r="A19" s="54"/>
      <c r="B19" s="55"/>
      <c r="C19" s="54" t="s">
        <v>20</v>
      </c>
      <c r="D19" s="54"/>
      <c r="E19" s="56"/>
      <c r="F19" s="56"/>
      <c r="G19" s="56"/>
      <c r="H19" s="56"/>
      <c r="I19" s="57">
        <f>SUM(I14:I18)</f>
        <v>144</v>
      </c>
      <c r="J19" s="139"/>
      <c r="K19" s="140">
        <f>SUM(K14:K18)</f>
        <v>3976848</v>
      </c>
      <c r="L19" s="141"/>
      <c r="N19" s="38" t="s">
        <v>214</v>
      </c>
      <c r="O19" s="38" t="s">
        <v>95</v>
      </c>
      <c r="P19" s="38" t="s">
        <v>96</v>
      </c>
      <c r="Q19" s="38"/>
      <c r="R19" s="38" t="s">
        <v>78</v>
      </c>
      <c r="S19" s="127">
        <v>72712</v>
      </c>
      <c r="T19" s="142"/>
      <c r="U19" s="127"/>
    </row>
    <row r="20" spans="1:21" ht="18" customHeight="1" x14ac:dyDescent="0.25">
      <c r="A20" s="123"/>
      <c r="B20" s="123"/>
      <c r="C20" s="123"/>
      <c r="D20" s="123"/>
      <c r="E20" s="123" t="s">
        <v>23</v>
      </c>
      <c r="F20" s="123"/>
      <c r="G20" s="123"/>
      <c r="H20" s="123"/>
      <c r="I20" s="123"/>
      <c r="J20" s="123"/>
      <c r="K20" s="123"/>
      <c r="L20" s="123"/>
      <c r="N20" s="38" t="s">
        <v>215</v>
      </c>
      <c r="O20" s="38" t="s">
        <v>120</v>
      </c>
      <c r="P20" s="38" t="s">
        <v>98</v>
      </c>
      <c r="R20" s="38" t="s">
        <v>79</v>
      </c>
      <c r="S20" s="127">
        <v>50000</v>
      </c>
      <c r="T20" s="128"/>
      <c r="U20" s="127"/>
    </row>
    <row r="21" spans="1:21" ht="18" customHeight="1" x14ac:dyDescent="0.25">
      <c r="A21" s="151" t="str">
        <f>CONCATENATE("Tổng cộng: ",MAX(A14:A18)," khoản")</f>
        <v>Tổng cộng: 1 khoản</v>
      </c>
      <c r="B21" s="151"/>
      <c r="C21" s="151"/>
      <c r="D21" s="151"/>
      <c r="E21" s="38" t="str">
        <f>CONCATENATE("Số lượng: ",I19," lít,kg.")</f>
        <v>Số lượng: 144 lít,kg.</v>
      </c>
      <c r="N21" s="38" t="s">
        <v>216</v>
      </c>
      <c r="O21" s="38" t="s">
        <v>97</v>
      </c>
      <c r="P21" s="38" t="s">
        <v>121</v>
      </c>
      <c r="S21" s="127"/>
      <c r="T21" s="128"/>
      <c r="U21" s="127"/>
    </row>
    <row r="22" spans="1:21" ht="18" customHeight="1" x14ac:dyDescent="0.25">
      <c r="A22" s="143" t="str">
        <f>CONCATENATE("Thành tiền: ",[1]!vnd($K$19))</f>
        <v>Thành tiền: Ba triệu, chín trăm bảy mươi sáu ngàn, tám trăm bốn mươi tám đồng.</v>
      </c>
      <c r="N22" s="38" t="s">
        <v>217</v>
      </c>
      <c r="O22" s="38" t="s">
        <v>101</v>
      </c>
      <c r="P22" s="38" t="s">
        <v>100</v>
      </c>
      <c r="R22" s="38" t="s">
        <v>33</v>
      </c>
      <c r="S22" s="127">
        <v>82011</v>
      </c>
      <c r="T22" s="128"/>
      <c r="U22" s="127"/>
    </row>
    <row r="23" spans="1:21" ht="18" customHeight="1" x14ac:dyDescent="0.25">
      <c r="A23" s="151" t="s">
        <v>115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18"/>
      <c r="N23" s="38" t="s">
        <v>236</v>
      </c>
      <c r="O23" s="38" t="s">
        <v>125</v>
      </c>
      <c r="P23" s="38" t="s">
        <v>123</v>
      </c>
      <c r="R23" s="38" t="s">
        <v>81</v>
      </c>
      <c r="S23" s="127">
        <v>82011</v>
      </c>
      <c r="T23" s="128"/>
      <c r="U23" s="127"/>
    </row>
    <row r="24" spans="1:21" ht="18" customHeight="1" x14ac:dyDescent="0.25">
      <c r="O24" s="38" t="s">
        <v>203</v>
      </c>
      <c r="P24" s="38" t="s">
        <v>196</v>
      </c>
      <c r="R24" s="38" t="s">
        <v>124</v>
      </c>
      <c r="S24" s="127">
        <v>82011</v>
      </c>
      <c r="T24" s="128"/>
      <c r="U24" s="127"/>
    </row>
    <row r="25" spans="1:21" s="41" customFormat="1" ht="18" customHeight="1" x14ac:dyDescent="0.25">
      <c r="A25" s="147" t="s">
        <v>30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20"/>
      <c r="N25" s="38"/>
      <c r="O25" s="38" t="s">
        <v>99</v>
      </c>
      <c r="P25" s="38" t="s">
        <v>25</v>
      </c>
      <c r="Q25" s="38"/>
      <c r="R25" s="38" t="s">
        <v>82</v>
      </c>
      <c r="S25" s="127">
        <v>82011</v>
      </c>
      <c r="T25" s="144"/>
      <c r="U25" s="127"/>
    </row>
    <row r="26" spans="1:21" ht="18" customHeight="1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P26" s="38" t="s">
        <v>26</v>
      </c>
      <c r="R26" s="38" t="s">
        <v>83</v>
      </c>
      <c r="S26" s="127">
        <v>146685</v>
      </c>
      <c r="T26" s="128"/>
      <c r="U26" s="127"/>
    </row>
    <row r="27" spans="1:21" ht="18" customHeight="1" x14ac:dyDescent="0.25">
      <c r="A27" s="60"/>
      <c r="P27" s="38" t="s">
        <v>205</v>
      </c>
      <c r="R27" s="38" t="s">
        <v>88</v>
      </c>
      <c r="S27" s="127">
        <v>82212</v>
      </c>
      <c r="T27" s="128"/>
      <c r="U27" s="127"/>
    </row>
    <row r="28" spans="1:21" ht="33.75" customHeight="1" x14ac:dyDescent="0.25">
      <c r="A28" s="60"/>
      <c r="N28" s="38" t="s">
        <v>201</v>
      </c>
      <c r="P28" s="145" t="s">
        <v>117</v>
      </c>
      <c r="R28" s="38" t="s">
        <v>87</v>
      </c>
      <c r="S28" s="127">
        <v>64500</v>
      </c>
      <c r="T28" s="128"/>
      <c r="U28" s="127"/>
    </row>
    <row r="29" spans="1:21" ht="18" customHeight="1" x14ac:dyDescent="0.25">
      <c r="A29" s="60"/>
      <c r="P29" s="145" t="s">
        <v>189</v>
      </c>
      <c r="R29" s="38" t="s">
        <v>84</v>
      </c>
      <c r="S29" s="127">
        <v>81900</v>
      </c>
      <c r="T29" s="128"/>
      <c r="U29" s="127"/>
    </row>
    <row r="30" spans="1:21" s="41" customFormat="1" ht="18" customHeight="1" x14ac:dyDescent="0.25">
      <c r="A30" s="147" t="str">
        <f>CONCATENATE(C8,"    T2CN Tr. Xuân Dụng    T2 Đào Trần Mạnh    U4 Nguyễn Như Phong          T2 Phạm Cao Hán           T3 Phan Văn Ánh  ")</f>
        <v xml:space="preserve">Trương Xuân Dụng    T2CN Tr. Xuân Dụng    T2 Đào Trần Mạnh    U4 Nguyễn Như Phong          T2 Phạm Cao Hán           T3 Phan Văn Ánh  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20"/>
      <c r="N30" s="38"/>
      <c r="O30" s="38"/>
      <c r="P30" s="145" t="s">
        <v>119</v>
      </c>
      <c r="R30" s="38" t="s">
        <v>86</v>
      </c>
      <c r="S30" s="127">
        <v>82011</v>
      </c>
      <c r="T30" s="144"/>
      <c r="U30" s="127"/>
    </row>
    <row r="31" spans="1:21" ht="18" customHeight="1" x14ac:dyDescent="0.25">
      <c r="R31" s="38" t="s">
        <v>184</v>
      </c>
      <c r="S31" s="146">
        <v>100000</v>
      </c>
      <c r="T31" s="128"/>
      <c r="U31" s="127"/>
    </row>
    <row r="32" spans="1:21" ht="18" customHeight="1" x14ac:dyDescent="0.25">
      <c r="R32" s="38" t="s">
        <v>80</v>
      </c>
      <c r="S32" s="146">
        <v>103550</v>
      </c>
      <c r="T32" s="128"/>
      <c r="U32" s="146"/>
    </row>
    <row r="33" spans="18:21" ht="18" customHeight="1" x14ac:dyDescent="0.25">
      <c r="R33" s="38" t="s">
        <v>193</v>
      </c>
      <c r="S33" s="146">
        <v>75028</v>
      </c>
      <c r="T33" s="128"/>
      <c r="U33" s="146"/>
    </row>
    <row r="34" spans="18:21" ht="18" customHeight="1" x14ac:dyDescent="0.25">
      <c r="R34" s="38" t="s">
        <v>194</v>
      </c>
      <c r="S34" s="146">
        <v>80536</v>
      </c>
      <c r="T34" s="128"/>
      <c r="U34" s="146"/>
    </row>
    <row r="35" spans="18:21" ht="18" customHeight="1" x14ac:dyDescent="0.25">
      <c r="R35" s="38" t="s">
        <v>195</v>
      </c>
      <c r="S35" s="146">
        <v>75230</v>
      </c>
      <c r="T35" s="128"/>
      <c r="U35" s="146"/>
    </row>
    <row r="36" spans="18:21" ht="18" customHeight="1" x14ac:dyDescent="0.25">
      <c r="S36" s="146"/>
      <c r="T36" s="128"/>
      <c r="U36" s="146"/>
    </row>
    <row r="37" spans="18:21" ht="18" customHeight="1" x14ac:dyDescent="0.25">
      <c r="S37" s="146"/>
      <c r="T37" s="128"/>
      <c r="U37" s="146"/>
    </row>
    <row r="38" spans="18:21" ht="18" customHeight="1" x14ac:dyDescent="0.25">
      <c r="S38" s="146"/>
      <c r="T38" s="128"/>
      <c r="U38" s="146"/>
    </row>
    <row r="39" spans="18:21" ht="18" customHeight="1" x14ac:dyDescent="0.25">
      <c r="S39" s="146"/>
      <c r="T39" s="128"/>
      <c r="U39" s="146"/>
    </row>
  </sheetData>
  <mergeCells count="31">
    <mergeCell ref="A2:D2"/>
    <mergeCell ref="E2:K2"/>
    <mergeCell ref="A3:D3"/>
    <mergeCell ref="I4:J4"/>
    <mergeCell ref="C4:E4"/>
    <mergeCell ref="A4:B4"/>
    <mergeCell ref="A5:B5"/>
    <mergeCell ref="C5:D5"/>
    <mergeCell ref="G4:H9"/>
    <mergeCell ref="A9:D9"/>
    <mergeCell ref="I5:J5"/>
    <mergeCell ref="A8:B8"/>
    <mergeCell ref="A7:B7"/>
    <mergeCell ref="A6:B6"/>
    <mergeCell ref="C6:D6"/>
    <mergeCell ref="C7:D7"/>
    <mergeCell ref="C8:D8"/>
    <mergeCell ref="I7:J7"/>
    <mergeCell ref="I8:J8"/>
    <mergeCell ref="I9:J9"/>
    <mergeCell ref="A30:K30"/>
    <mergeCell ref="K11:K13"/>
    <mergeCell ref="C11:C13"/>
    <mergeCell ref="E11:I11"/>
    <mergeCell ref="A11:A13"/>
    <mergeCell ref="B11:B13"/>
    <mergeCell ref="J11:J13"/>
    <mergeCell ref="D11:D13"/>
    <mergeCell ref="A21:D21"/>
    <mergeCell ref="A23:K23"/>
    <mergeCell ref="A25:K25"/>
  </mergeCells>
  <phoneticPr fontId="3" type="noConversion"/>
  <dataValidations count="6">
    <dataValidation type="list" showInputMessage="1" showErrorMessage="1" sqref="C5:D5" xr:uid="{D0017ADA-6522-44F2-9CE7-B30568F96B5D}">
      <formula1>$N$3:$N$39</formula1>
    </dataValidation>
    <dataValidation type="list" showInputMessage="1" showErrorMessage="1" sqref="C8:D8" xr:uid="{C16E78FC-6FAF-4ACF-8C13-3D86A8D345FA}">
      <formula1>$P$3:$P$39</formula1>
    </dataValidation>
    <dataValidation type="list" allowBlank="1" showInputMessage="1" showErrorMessage="1" sqref="J6" xr:uid="{018C59F8-8408-42CA-A65A-240E6D1A9FAB}">
      <formula1>$Q$3:$Q$39</formula1>
    </dataValidation>
    <dataValidation type="list" showInputMessage="1" showErrorMessage="1" sqref="C15:C16 C18" xr:uid="{D6DD23A8-5FDF-4482-A311-5C8D918CD558}">
      <formula1>$R$3:$R$39</formula1>
    </dataValidation>
    <dataValidation type="list" allowBlank="1" showInputMessage="1" showErrorMessage="1" sqref="C17" xr:uid="{91A976D4-3CE5-492A-93DA-394E8EB8B489}">
      <formula1>$R$3:$R$39</formula1>
    </dataValidation>
    <dataValidation type="list" showInputMessage="1" showErrorMessage="1" sqref="C6:D6" xr:uid="{D6BD7002-98B3-4461-83F3-84B2DF473B02}">
      <formula1>$O$3:$O$39</formula1>
    </dataValidation>
  </dataValidations>
  <pageMargins left="0.39370078740157483" right="0.19685039370078741" top="0.39370078740157483" bottom="0.39370078740157483" header="0" footer="0"/>
  <pageSetup paperSize="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5E4F-140F-416A-A7E3-522DF6C23CE6}">
  <dimension ref="A1:T36"/>
  <sheetViews>
    <sheetView zoomScaleNormal="100" zoomScaleSheetLayoutView="100" workbookViewId="0">
      <selection activeCell="C15" sqref="C15"/>
    </sheetView>
  </sheetViews>
  <sheetFormatPr defaultColWidth="9.140625" defaultRowHeight="18" customHeight="1" x14ac:dyDescent="0.25"/>
  <cols>
    <col min="1" max="1" width="6.42578125" style="2" customWidth="1"/>
    <col min="2" max="2" width="11.140625" style="2" customWidth="1"/>
    <col min="3" max="3" width="24.7109375" style="2" customWidth="1"/>
    <col min="4" max="4" width="7.140625" style="2" customWidth="1"/>
    <col min="5" max="5" width="14" style="2" customWidth="1"/>
    <col min="6" max="6" width="9.85546875" style="2" bestFit="1" customWidth="1"/>
    <col min="7" max="8" width="9" style="2" customWidth="1"/>
    <col min="9" max="9" width="14.7109375" style="2" customWidth="1"/>
    <col min="10" max="11" width="17.7109375" style="2" customWidth="1"/>
    <col min="12" max="12" width="9.140625" style="2" customWidth="1"/>
    <col min="13" max="13" width="9.28515625" style="2" bestFit="1" customWidth="1"/>
    <col min="14" max="14" width="26.28515625" style="2" customWidth="1"/>
    <col min="15" max="15" width="22.42578125" style="2" customWidth="1"/>
    <col min="16" max="16" width="11.7109375" style="2" bestFit="1" customWidth="1"/>
    <col min="17" max="17" width="22" style="2" bestFit="1" customWidth="1"/>
    <col min="18" max="18" width="11.42578125" style="2" customWidth="1"/>
    <col min="19" max="19" width="14.85546875" style="2" customWidth="1"/>
    <col min="20" max="16384" width="9.140625" style="2"/>
  </cols>
  <sheetData>
    <row r="1" spans="1:20" ht="18" customHeight="1" x14ac:dyDescent="0.25">
      <c r="A1" s="1"/>
      <c r="J1" s="3"/>
      <c r="K1" s="4" t="s">
        <v>19</v>
      </c>
      <c r="L1" s="5"/>
    </row>
    <row r="2" spans="1:20" ht="18" customHeight="1" x14ac:dyDescent="0.25">
      <c r="A2" s="170" t="s">
        <v>24</v>
      </c>
      <c r="B2" s="170"/>
      <c r="C2" s="170"/>
      <c r="D2" s="170"/>
      <c r="E2" s="171" t="s">
        <v>0</v>
      </c>
      <c r="F2" s="171"/>
      <c r="G2" s="171"/>
      <c r="H2" s="171"/>
      <c r="I2" s="171"/>
      <c r="J2" s="171"/>
      <c r="K2" s="171"/>
      <c r="L2" s="6"/>
      <c r="N2" s="7" t="s">
        <v>77</v>
      </c>
      <c r="O2" s="7" t="s">
        <v>76</v>
      </c>
      <c r="P2" s="7" t="s">
        <v>73</v>
      </c>
      <c r="Q2" s="7" t="s">
        <v>74</v>
      </c>
      <c r="R2" s="7" t="s">
        <v>75</v>
      </c>
      <c r="S2" s="7" t="s">
        <v>116</v>
      </c>
      <c r="T2" s="7" t="s">
        <v>129</v>
      </c>
    </row>
    <row r="3" spans="1:20" ht="18" customHeight="1" x14ac:dyDescent="0.25">
      <c r="A3" s="172" t="s">
        <v>27</v>
      </c>
      <c r="B3" s="172"/>
      <c r="C3" s="172"/>
      <c r="D3" s="172"/>
      <c r="E3" s="9"/>
      <c r="F3" s="9"/>
      <c r="G3" s="9"/>
      <c r="H3" s="9"/>
      <c r="I3" s="9"/>
      <c r="J3" s="9"/>
      <c r="K3" s="9"/>
      <c r="L3" s="9"/>
      <c r="M3" s="10" t="e">
        <f>ROUND(K6/100*VLOOKUP(J6,$P$3:$S$12,4,0),0)</f>
        <v>#N/A</v>
      </c>
      <c r="N3" s="2" t="s">
        <v>36</v>
      </c>
      <c r="O3" s="2" t="s">
        <v>123</v>
      </c>
      <c r="P3" s="2" t="s">
        <v>60</v>
      </c>
      <c r="Q3" s="2" t="s">
        <v>183</v>
      </c>
      <c r="R3" s="11">
        <v>19374</v>
      </c>
      <c r="S3" s="12">
        <v>18</v>
      </c>
      <c r="T3" s="11">
        <v>3925</v>
      </c>
    </row>
    <row r="4" spans="1:20" ht="18" customHeight="1" x14ac:dyDescent="0.25">
      <c r="A4" s="168" t="s">
        <v>91</v>
      </c>
      <c r="B4" s="168"/>
      <c r="C4" s="168" t="s">
        <v>92</v>
      </c>
      <c r="D4" s="168"/>
      <c r="E4" s="168"/>
      <c r="F4" s="13" t="s">
        <v>21</v>
      </c>
      <c r="G4" s="173">
        <v>45896</v>
      </c>
      <c r="H4" s="174"/>
      <c r="I4" s="168" t="s">
        <v>1</v>
      </c>
      <c r="J4" s="168"/>
      <c r="K4" s="14"/>
      <c r="L4" s="14"/>
      <c r="N4" s="2" t="s">
        <v>41</v>
      </c>
      <c r="O4" s="2" t="s">
        <v>196</v>
      </c>
      <c r="P4" s="2" t="s">
        <v>61</v>
      </c>
      <c r="Q4" s="2" t="s">
        <v>183</v>
      </c>
      <c r="R4" s="11"/>
      <c r="S4" s="12">
        <v>18</v>
      </c>
      <c r="T4" s="11">
        <v>475</v>
      </c>
    </row>
    <row r="5" spans="1:20" ht="18" customHeight="1" x14ac:dyDescent="0.25">
      <c r="A5" s="168" t="s">
        <v>93</v>
      </c>
      <c r="B5" s="168"/>
      <c r="C5" s="168" t="s">
        <v>201</v>
      </c>
      <c r="D5" s="168"/>
      <c r="E5" s="14"/>
      <c r="F5" s="13"/>
      <c r="G5" s="175"/>
      <c r="H5" s="176"/>
      <c r="I5" s="168" t="s">
        <v>2</v>
      </c>
      <c r="J5" s="168"/>
      <c r="K5" s="14"/>
      <c r="L5" s="14"/>
      <c r="N5" s="2" t="s">
        <v>42</v>
      </c>
      <c r="O5" s="2" t="s">
        <v>25</v>
      </c>
      <c r="P5" s="2" t="s">
        <v>64</v>
      </c>
      <c r="Q5" s="2" t="s">
        <v>183</v>
      </c>
      <c r="R5" s="11"/>
      <c r="S5" s="12">
        <v>15</v>
      </c>
      <c r="T5" s="11"/>
    </row>
    <row r="6" spans="1:20" ht="18" customHeight="1" x14ac:dyDescent="0.25">
      <c r="A6" s="168" t="s">
        <v>90</v>
      </c>
      <c r="B6" s="168"/>
      <c r="C6" s="168" t="s">
        <v>52</v>
      </c>
      <c r="D6" s="168"/>
      <c r="E6" s="15"/>
      <c r="F6" s="13" t="s">
        <v>22</v>
      </c>
      <c r="G6" s="175"/>
      <c r="H6" s="176"/>
      <c r="I6" s="14" t="s">
        <v>122</v>
      </c>
      <c r="J6" s="16" t="s">
        <v>71</v>
      </c>
      <c r="K6" s="17"/>
      <c r="L6" s="18"/>
      <c r="N6" s="2" t="s">
        <v>37</v>
      </c>
      <c r="O6" s="2" t="s">
        <v>26</v>
      </c>
      <c r="P6" s="2" t="s">
        <v>191</v>
      </c>
      <c r="Q6" s="2" t="s">
        <v>31</v>
      </c>
      <c r="R6" s="11">
        <v>20679</v>
      </c>
      <c r="S6" s="12">
        <v>14</v>
      </c>
      <c r="T6" s="11"/>
    </row>
    <row r="7" spans="1:20" ht="18" customHeight="1" x14ac:dyDescent="0.25">
      <c r="A7" s="168" t="s">
        <v>35</v>
      </c>
      <c r="B7" s="168"/>
      <c r="C7" s="179" t="s">
        <v>202</v>
      </c>
      <c r="D7" s="179"/>
      <c r="E7" s="14"/>
      <c r="F7" s="14"/>
      <c r="G7" s="175"/>
      <c r="H7" s="176"/>
      <c r="I7" s="168" t="s">
        <v>3</v>
      </c>
      <c r="J7" s="168"/>
      <c r="K7" s="19"/>
      <c r="L7" s="19"/>
      <c r="N7" s="2" t="s">
        <v>38</v>
      </c>
      <c r="P7" s="2" t="s">
        <v>65</v>
      </c>
      <c r="Q7" s="2" t="s">
        <v>31</v>
      </c>
      <c r="R7" s="11"/>
      <c r="S7" s="12">
        <v>14</v>
      </c>
      <c r="T7" s="11"/>
    </row>
    <row r="8" spans="1:20" ht="18" customHeight="1" x14ac:dyDescent="0.25">
      <c r="A8" s="168" t="s">
        <v>89</v>
      </c>
      <c r="B8" s="168"/>
      <c r="C8" s="168" t="s">
        <v>190</v>
      </c>
      <c r="D8" s="168"/>
      <c r="E8" s="14"/>
      <c r="F8" s="14"/>
      <c r="G8" s="175"/>
      <c r="H8" s="176"/>
      <c r="I8" s="168" t="s">
        <v>4</v>
      </c>
      <c r="J8" s="168"/>
      <c r="K8" s="19"/>
      <c r="L8" s="19"/>
      <c r="N8" s="2" t="s">
        <v>39</v>
      </c>
      <c r="P8" s="2" t="s">
        <v>66</v>
      </c>
      <c r="Q8" s="2" t="s">
        <v>31</v>
      </c>
      <c r="R8" s="11"/>
      <c r="S8" s="12">
        <v>20</v>
      </c>
      <c r="T8" s="11">
        <v>36834</v>
      </c>
    </row>
    <row r="9" spans="1:20" ht="18" customHeight="1" x14ac:dyDescent="0.25">
      <c r="A9" s="180" t="s">
        <v>5</v>
      </c>
      <c r="B9" s="180"/>
      <c r="C9" s="180"/>
      <c r="D9" s="180"/>
      <c r="E9" s="14"/>
      <c r="F9" s="14"/>
      <c r="G9" s="177"/>
      <c r="H9" s="178"/>
      <c r="I9" s="168" t="s">
        <v>6</v>
      </c>
      <c r="J9" s="168"/>
      <c r="K9" s="14"/>
      <c r="L9" s="14"/>
      <c r="N9" s="2" t="s">
        <v>40</v>
      </c>
      <c r="O9" s="2" t="s">
        <v>117</v>
      </c>
      <c r="P9" s="2" t="s">
        <v>67</v>
      </c>
      <c r="Q9" s="2" t="s">
        <v>31</v>
      </c>
      <c r="R9" s="11"/>
      <c r="S9" s="12">
        <v>20</v>
      </c>
      <c r="T9" s="11"/>
    </row>
    <row r="10" spans="1:20" ht="18" customHeight="1" thickBo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4"/>
      <c r="N10" s="2" t="s">
        <v>43</v>
      </c>
      <c r="O10" s="2" t="s">
        <v>189</v>
      </c>
      <c r="P10" s="2" t="s">
        <v>68</v>
      </c>
      <c r="Q10" s="2" t="s">
        <v>31</v>
      </c>
      <c r="R10" s="11"/>
      <c r="S10" s="12">
        <v>16</v>
      </c>
      <c r="T10" s="11"/>
    </row>
    <row r="11" spans="1:20" ht="18" customHeight="1" thickBot="1" x14ac:dyDescent="0.3">
      <c r="A11" s="169" t="s">
        <v>7</v>
      </c>
      <c r="B11" s="169" t="s">
        <v>8</v>
      </c>
      <c r="C11" s="169" t="s">
        <v>9</v>
      </c>
      <c r="D11" s="169" t="s">
        <v>10</v>
      </c>
      <c r="E11" s="169" t="s">
        <v>11</v>
      </c>
      <c r="F11" s="169"/>
      <c r="G11" s="169"/>
      <c r="H11" s="169"/>
      <c r="I11" s="169"/>
      <c r="J11" s="169" t="s">
        <v>28</v>
      </c>
      <c r="K11" s="169" t="s">
        <v>12</v>
      </c>
      <c r="L11" s="8"/>
      <c r="N11" s="2" t="s">
        <v>44</v>
      </c>
      <c r="O11" s="2" t="s">
        <v>119</v>
      </c>
      <c r="P11" s="2" t="s">
        <v>69</v>
      </c>
      <c r="Q11" s="2" t="s">
        <v>31</v>
      </c>
      <c r="R11" s="11"/>
      <c r="S11" s="12">
        <v>36</v>
      </c>
      <c r="T11" s="11"/>
    </row>
    <row r="12" spans="1:20" ht="18" customHeight="1" thickBot="1" x14ac:dyDescent="0.3">
      <c r="A12" s="169"/>
      <c r="B12" s="169"/>
      <c r="C12" s="169"/>
      <c r="D12" s="169"/>
      <c r="E12" s="100" t="s">
        <v>13</v>
      </c>
      <c r="F12" s="100" t="s">
        <v>14</v>
      </c>
      <c r="G12" s="100" t="s">
        <v>15</v>
      </c>
      <c r="H12" s="100" t="s">
        <v>16</v>
      </c>
      <c r="I12" s="100" t="s">
        <v>18</v>
      </c>
      <c r="J12" s="169"/>
      <c r="K12" s="169"/>
      <c r="L12" s="8"/>
      <c r="N12" s="2" t="s">
        <v>45</v>
      </c>
      <c r="O12" s="2" t="s">
        <v>59</v>
      </c>
      <c r="Q12" s="2" t="s">
        <v>183</v>
      </c>
      <c r="R12" s="11"/>
      <c r="S12" s="12"/>
      <c r="T12" s="11"/>
    </row>
    <row r="13" spans="1:20" ht="18" customHeight="1" thickBot="1" x14ac:dyDescent="0.3">
      <c r="A13" s="169"/>
      <c r="B13" s="169"/>
      <c r="C13" s="169"/>
      <c r="D13" s="169"/>
      <c r="E13" s="100" t="s">
        <v>126</v>
      </c>
      <c r="F13" s="100" t="s">
        <v>29</v>
      </c>
      <c r="G13" s="100" t="s">
        <v>127</v>
      </c>
      <c r="H13" s="100" t="s">
        <v>17</v>
      </c>
      <c r="I13" s="100" t="s">
        <v>128</v>
      </c>
      <c r="J13" s="169"/>
      <c r="K13" s="169"/>
      <c r="L13" s="8"/>
      <c r="N13" s="2" t="s">
        <v>46</v>
      </c>
      <c r="O13" s="2" t="s">
        <v>103</v>
      </c>
      <c r="P13" s="2" t="s">
        <v>70</v>
      </c>
      <c r="Q13" s="2" t="s">
        <v>183</v>
      </c>
      <c r="R13" s="11"/>
      <c r="S13" s="12"/>
      <c r="T13" s="11"/>
    </row>
    <row r="14" spans="1:20" ht="18" customHeight="1" thickBot="1" x14ac:dyDescent="0.3">
      <c r="A14" s="101">
        <f>IF(C14="","",SUBTOTAL(3,$C$14:C14))</f>
        <v>1</v>
      </c>
      <c r="B14" s="102"/>
      <c r="C14" s="102" t="str">
        <f>VLOOKUP(J6,$P$3:$Q$36,2,FALSE)</f>
        <v>Dầu DO 0,05S</v>
      </c>
      <c r="D14" s="101">
        <v>1</v>
      </c>
      <c r="E14" s="103">
        <f>I14/H14</f>
        <v>9801.4787805125088</v>
      </c>
      <c r="F14" s="104">
        <v>30</v>
      </c>
      <c r="G14" s="107">
        <f>IF(C14="Dầu DO 0,05S",0.84,0.75)</f>
        <v>0.84</v>
      </c>
      <c r="H14" s="104">
        <f>IF(C14="Dầu DO 0,05S",0.9873,0.9815)</f>
        <v>0.98729999999999996</v>
      </c>
      <c r="I14" s="105">
        <v>9677</v>
      </c>
      <c r="J14" s="106">
        <v>19348</v>
      </c>
      <c r="K14" s="106">
        <f>I14*J14</f>
        <v>187230596</v>
      </c>
      <c r="L14" s="21"/>
      <c r="N14" s="2" t="s">
        <v>47</v>
      </c>
      <c r="O14" s="2" t="s">
        <v>104</v>
      </c>
      <c r="P14" s="2" t="s">
        <v>71</v>
      </c>
      <c r="Q14" s="2" t="s">
        <v>31</v>
      </c>
      <c r="R14" s="11"/>
      <c r="S14" s="12"/>
      <c r="T14" s="11"/>
    </row>
    <row r="15" spans="1:20" ht="18" customHeight="1" thickBot="1" x14ac:dyDescent="0.3">
      <c r="A15" s="101">
        <f>IF(C15="","",SUBTOTAL(3,$C$14:C15))</f>
        <v>2</v>
      </c>
      <c r="B15" s="102"/>
      <c r="C15" s="102" t="s">
        <v>31</v>
      </c>
      <c r="D15" s="101">
        <f>IF(C15&lt;&gt;"",1,"")</f>
        <v>1</v>
      </c>
      <c r="E15" s="105">
        <f t="shared" ref="E15:E16" si="0">I15</f>
        <v>4</v>
      </c>
      <c r="F15" s="105">
        <v>30</v>
      </c>
      <c r="G15" s="107">
        <f t="shared" ref="G15:G17" si="1">IF(C15="Dầu DO 0,05S",0.84,0.75)</f>
        <v>0.84</v>
      </c>
      <c r="H15" s="104">
        <f t="shared" ref="H15:H17" si="2">IF(C15="Dầu DO 0,05S",0.9873,0.9815)</f>
        <v>0.98729999999999996</v>
      </c>
      <c r="I15" s="105">
        <v>4</v>
      </c>
      <c r="J15" s="106">
        <v>21255</v>
      </c>
      <c r="K15" s="106">
        <f>IF(C15&lt;&gt;0,I15*J15,"")</f>
        <v>85020</v>
      </c>
      <c r="L15" s="21"/>
      <c r="N15" s="2" t="s">
        <v>48</v>
      </c>
      <c r="O15" s="2" t="s">
        <v>105</v>
      </c>
      <c r="R15" s="11"/>
      <c r="S15" s="12"/>
      <c r="T15" s="11"/>
    </row>
    <row r="16" spans="1:20" ht="18" customHeight="1" thickBot="1" x14ac:dyDescent="0.3">
      <c r="A16" s="101">
        <f>IF(C16="","",SUBTOTAL(3,$C$14:C16))</f>
        <v>3</v>
      </c>
      <c r="B16" s="102"/>
      <c r="C16" s="102" t="s">
        <v>31</v>
      </c>
      <c r="D16" s="101">
        <f t="shared" ref="D16:D18" si="3">IF(C16&lt;&gt;"",1,"")</f>
        <v>1</v>
      </c>
      <c r="E16" s="105">
        <f t="shared" si="0"/>
        <v>213</v>
      </c>
      <c r="F16" s="105">
        <v>30</v>
      </c>
      <c r="G16" s="107">
        <f t="shared" si="1"/>
        <v>0.84</v>
      </c>
      <c r="H16" s="104">
        <f t="shared" si="2"/>
        <v>0.98729999999999996</v>
      </c>
      <c r="I16" s="105">
        <v>213</v>
      </c>
      <c r="J16" s="106">
        <v>17627</v>
      </c>
      <c r="K16" s="106">
        <f t="shared" ref="K16:K18" si="4">IF(C16&lt;&gt;0,I16*J16,"")</f>
        <v>3754551</v>
      </c>
      <c r="L16" s="21"/>
      <c r="N16" s="2" t="s">
        <v>49</v>
      </c>
      <c r="O16" s="2" t="s">
        <v>114</v>
      </c>
      <c r="Q16" s="2" t="s">
        <v>187</v>
      </c>
      <c r="R16" s="11">
        <v>45530</v>
      </c>
      <c r="S16" s="12"/>
      <c r="T16" s="11"/>
    </row>
    <row r="17" spans="1:20" ht="18" customHeight="1" thickBot="1" x14ac:dyDescent="0.3">
      <c r="A17" s="101">
        <f>IF(C17="","",SUBTOTAL(3,$C$14:C17))</f>
        <v>4</v>
      </c>
      <c r="B17" s="102"/>
      <c r="C17" s="102" t="s">
        <v>31</v>
      </c>
      <c r="D17" s="101">
        <f t="shared" si="3"/>
        <v>1</v>
      </c>
      <c r="E17" s="105">
        <f>I17</f>
        <v>106</v>
      </c>
      <c r="F17" s="105"/>
      <c r="G17" s="107">
        <f t="shared" si="1"/>
        <v>0.84</v>
      </c>
      <c r="H17" s="104">
        <f t="shared" si="2"/>
        <v>0.98729999999999996</v>
      </c>
      <c r="I17" s="105">
        <v>106</v>
      </c>
      <c r="J17" s="106">
        <v>18041</v>
      </c>
      <c r="K17" s="106">
        <f t="shared" si="4"/>
        <v>1912346</v>
      </c>
      <c r="L17" s="21"/>
      <c r="N17" s="2" t="s">
        <v>50</v>
      </c>
      <c r="O17" s="2" t="s">
        <v>106</v>
      </c>
      <c r="Q17" s="2" t="s">
        <v>186</v>
      </c>
      <c r="R17" s="11">
        <v>54450</v>
      </c>
      <c r="S17" s="12"/>
      <c r="T17" s="11"/>
    </row>
    <row r="18" spans="1:20" ht="18" customHeight="1" thickBot="1" x14ac:dyDescent="0.3">
      <c r="A18" s="101">
        <f>IF(C18="","",SUBTOTAL(3,$C$14:C18))</f>
        <v>5</v>
      </c>
      <c r="B18" s="102"/>
      <c r="C18" s="102" t="s">
        <v>184</v>
      </c>
      <c r="D18" s="101">
        <f t="shared" si="3"/>
        <v>1</v>
      </c>
      <c r="E18" s="105">
        <f t="shared" ref="E18" si="5">I18</f>
        <v>400</v>
      </c>
      <c r="F18" s="104"/>
      <c r="G18" s="104"/>
      <c r="H18" s="104"/>
      <c r="I18" s="105">
        <f>IF(C17&lt;&gt;"",ROUND(SUM(I14:I17)*0.04,0),"")</f>
        <v>400</v>
      </c>
      <c r="J18" s="106">
        <f>IF(C18&lt;&gt;"",VLOOKUP(C18,$Q$3:$R$36,2,0),"")</f>
        <v>100000</v>
      </c>
      <c r="K18" s="106">
        <f t="shared" si="4"/>
        <v>40000000</v>
      </c>
      <c r="L18" s="21"/>
      <c r="N18" s="2" t="s">
        <v>51</v>
      </c>
      <c r="O18" s="2" t="s">
        <v>188</v>
      </c>
      <c r="Q18" s="2" t="s">
        <v>185</v>
      </c>
      <c r="R18" s="11"/>
      <c r="S18" s="12"/>
      <c r="T18" s="11"/>
    </row>
    <row r="19" spans="1:20" s="29" customFormat="1" ht="18" customHeight="1" thickBot="1" x14ac:dyDescent="0.3">
      <c r="A19" s="22"/>
      <c r="B19" s="23"/>
      <c r="C19" s="22" t="s">
        <v>20</v>
      </c>
      <c r="D19" s="22"/>
      <c r="E19" s="24"/>
      <c r="F19" s="24"/>
      <c r="G19" s="24"/>
      <c r="H19" s="24"/>
      <c r="I19" s="25">
        <f>SUM(I14:I18)</f>
        <v>10400</v>
      </c>
      <c r="J19" s="26"/>
      <c r="K19" s="27">
        <f>SUM(K14:K18)</f>
        <v>232982513</v>
      </c>
      <c r="L19" s="28"/>
      <c r="N19" s="2" t="s">
        <v>52</v>
      </c>
      <c r="O19" s="2" t="s">
        <v>190</v>
      </c>
      <c r="P19" s="2"/>
      <c r="Q19" s="2" t="s">
        <v>78</v>
      </c>
      <c r="R19" s="11">
        <v>72712</v>
      </c>
      <c r="S19" s="30"/>
      <c r="T19" s="11"/>
    </row>
    <row r="20" spans="1:20" ht="18" customHeight="1" x14ac:dyDescent="0.25">
      <c r="A20" s="14"/>
      <c r="B20" s="14"/>
      <c r="C20" s="14"/>
      <c r="D20" s="14"/>
      <c r="E20" s="14" t="s">
        <v>23</v>
      </c>
      <c r="F20" s="14"/>
      <c r="G20" s="14"/>
      <c r="H20" s="14"/>
      <c r="I20" s="14"/>
      <c r="J20" s="14"/>
      <c r="K20" s="14"/>
      <c r="L20" s="14"/>
      <c r="N20" s="2" t="s">
        <v>53</v>
      </c>
      <c r="O20" s="2" t="s">
        <v>109</v>
      </c>
      <c r="Q20" s="2" t="s">
        <v>79</v>
      </c>
      <c r="R20" s="11">
        <v>82011</v>
      </c>
      <c r="S20" s="12"/>
      <c r="T20" s="11"/>
    </row>
    <row r="21" spans="1:20" ht="18" customHeight="1" x14ac:dyDescent="0.25">
      <c r="A21" s="166" t="str">
        <f>CONCATENATE("Tổng cộng: ",MAX(A14:A18)," khoản")</f>
        <v>Tổng cộng: 5 khoản</v>
      </c>
      <c r="B21" s="166"/>
      <c r="C21" s="166"/>
      <c r="D21" s="166"/>
      <c r="E21" s="2" t="str">
        <f>CONCATENATE("Số lượng: ",I19," lít,kg.")</f>
        <v>Số lượng: 10400 lít,kg.</v>
      </c>
      <c r="N21" s="2" t="s">
        <v>54</v>
      </c>
      <c r="O21" s="2" t="s">
        <v>110</v>
      </c>
      <c r="Q21" s="2" t="s">
        <v>80</v>
      </c>
      <c r="R21" s="11">
        <v>113550</v>
      </c>
      <c r="S21" s="12"/>
      <c r="T21" s="11"/>
    </row>
    <row r="22" spans="1:20" ht="18" customHeight="1" x14ac:dyDescent="0.25">
      <c r="A22" s="32" t="str">
        <f>CONCATENATE("Thành tiền: ",[1]!vnd($K$19))</f>
        <v>Thành tiền: Hai trăm ba mươi hai triệu, chín trăm tám mươi hai ngàn, năm trăm mười ba đồng.</v>
      </c>
      <c r="N22" s="2" t="s">
        <v>55</v>
      </c>
      <c r="O22" s="2" t="s">
        <v>111</v>
      </c>
      <c r="Q22" s="2" t="s">
        <v>33</v>
      </c>
      <c r="R22" s="11">
        <v>82011</v>
      </c>
      <c r="S22" s="12"/>
      <c r="T22" s="11"/>
    </row>
    <row r="23" spans="1:20" ht="18" customHeight="1" x14ac:dyDescent="0.25">
      <c r="A23" s="166" t="s">
        <v>115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31"/>
      <c r="N23" s="2" t="s">
        <v>56</v>
      </c>
      <c r="O23" s="2" t="s">
        <v>112</v>
      </c>
      <c r="Q23" s="2" t="s">
        <v>81</v>
      </c>
      <c r="R23" s="11">
        <v>82011</v>
      </c>
      <c r="S23" s="12"/>
      <c r="T23" s="11"/>
    </row>
    <row r="24" spans="1:20" ht="18" customHeight="1" x14ac:dyDescent="0.25">
      <c r="N24" s="2" t="s">
        <v>57</v>
      </c>
      <c r="O24" s="2" t="s">
        <v>113</v>
      </c>
      <c r="Q24" s="2" t="s">
        <v>124</v>
      </c>
      <c r="R24" s="11">
        <v>82011</v>
      </c>
      <c r="S24" s="12"/>
      <c r="T24" s="11"/>
    </row>
    <row r="25" spans="1:20" s="9" customFormat="1" ht="18" customHeight="1" x14ac:dyDescent="0.25">
      <c r="A25" s="167" t="s">
        <v>30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33"/>
      <c r="N25" s="2" t="s">
        <v>58</v>
      </c>
      <c r="O25" s="2" t="s">
        <v>102</v>
      </c>
      <c r="P25" s="2"/>
      <c r="Q25" s="2" t="s">
        <v>82</v>
      </c>
      <c r="R25" s="11">
        <v>82011</v>
      </c>
      <c r="S25" s="34"/>
      <c r="T25" s="11"/>
    </row>
    <row r="26" spans="1:20" ht="18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N26" s="2" t="s">
        <v>72</v>
      </c>
      <c r="O26" s="2" t="s">
        <v>94</v>
      </c>
      <c r="Q26" s="2" t="s">
        <v>83</v>
      </c>
      <c r="R26" s="11">
        <v>146685</v>
      </c>
      <c r="S26" s="12"/>
      <c r="T26" s="11"/>
    </row>
    <row r="27" spans="1:20" ht="18" customHeight="1" x14ac:dyDescent="0.25">
      <c r="A27" s="29"/>
      <c r="N27" s="2" t="s">
        <v>95</v>
      </c>
      <c r="O27" s="2" t="s">
        <v>96</v>
      </c>
      <c r="Q27" s="2" t="s">
        <v>88</v>
      </c>
      <c r="R27" s="11">
        <v>82212</v>
      </c>
      <c r="S27" s="12"/>
      <c r="T27" s="11"/>
    </row>
    <row r="28" spans="1:20" ht="18" customHeight="1" x14ac:dyDescent="0.25">
      <c r="A28" s="29"/>
      <c r="N28" s="2" t="s">
        <v>120</v>
      </c>
      <c r="O28" s="2" t="s">
        <v>98</v>
      </c>
      <c r="Q28" s="2" t="s">
        <v>87</v>
      </c>
      <c r="R28" s="11">
        <v>64500</v>
      </c>
      <c r="S28" s="12"/>
      <c r="T28" s="11"/>
    </row>
    <row r="29" spans="1:20" ht="18" customHeight="1" x14ac:dyDescent="0.25">
      <c r="A29" s="29"/>
      <c r="N29" s="2" t="s">
        <v>97</v>
      </c>
      <c r="O29" s="2" t="s">
        <v>121</v>
      </c>
      <c r="Q29" s="2" t="s">
        <v>84</v>
      </c>
      <c r="R29" s="11">
        <v>81900</v>
      </c>
      <c r="S29" s="12"/>
      <c r="T29" s="11"/>
    </row>
    <row r="30" spans="1:20" ht="18" customHeight="1" x14ac:dyDescent="0.25">
      <c r="A30" s="29"/>
      <c r="N30" s="2" t="s">
        <v>99</v>
      </c>
      <c r="Q30" s="2" t="s">
        <v>85</v>
      </c>
      <c r="R30" s="11">
        <v>63000</v>
      </c>
      <c r="S30" s="12"/>
      <c r="T30" s="11"/>
    </row>
    <row r="31" spans="1:20" s="9" customFormat="1" ht="18" customHeight="1" x14ac:dyDescent="0.25">
      <c r="A31" s="167" t="str">
        <f>CONCATENATE(C8,"    T2CN Tr. Xuân Dụng    T2 Đào Trần Mạnh    U4 Nguyễn Như Phong          T2 Phạm Cao Hán           T3 Phan Văn Ánh  ")</f>
        <v xml:space="preserve">T1CN Đỗ Văn Hải    T2CN Tr. Xuân Dụng    T2 Đào Trần Mạnh    U4 Nguyễn Như Phong          T2 Phạm Cao Hán           T3 Phan Văn Ánh  </v>
      </c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33"/>
      <c r="N31" s="2" t="s">
        <v>101</v>
      </c>
      <c r="O31" s="2" t="s">
        <v>100</v>
      </c>
      <c r="Q31" s="2" t="s">
        <v>86</v>
      </c>
      <c r="R31" s="11">
        <v>82011</v>
      </c>
      <c r="S31" s="34"/>
      <c r="T31" s="11"/>
    </row>
    <row r="32" spans="1:20" ht="18" customHeight="1" x14ac:dyDescent="0.25">
      <c r="N32" s="2" t="s">
        <v>125</v>
      </c>
      <c r="Q32" s="2" t="s">
        <v>184</v>
      </c>
      <c r="R32" s="36">
        <v>100000</v>
      </c>
      <c r="S32" s="12"/>
      <c r="T32" s="11"/>
    </row>
    <row r="33" spans="14:20" ht="18" customHeight="1" x14ac:dyDescent="0.25">
      <c r="N33" s="2" t="s">
        <v>197</v>
      </c>
      <c r="R33" s="36"/>
      <c r="S33" s="12"/>
      <c r="T33" s="36"/>
    </row>
    <row r="34" spans="14:20" ht="18" customHeight="1" x14ac:dyDescent="0.25">
      <c r="N34" s="2" t="s">
        <v>198</v>
      </c>
      <c r="R34" s="36"/>
      <c r="S34" s="12"/>
      <c r="T34" s="36"/>
    </row>
    <row r="35" spans="14:20" ht="18" customHeight="1" x14ac:dyDescent="0.25">
      <c r="N35" s="2" t="s">
        <v>199</v>
      </c>
      <c r="R35" s="36"/>
      <c r="S35" s="12"/>
      <c r="T35" s="36"/>
    </row>
    <row r="36" spans="14:20" ht="18" customHeight="1" x14ac:dyDescent="0.25">
      <c r="N36" s="2" t="s">
        <v>200</v>
      </c>
      <c r="R36" s="36"/>
      <c r="S36" s="12"/>
      <c r="T36" s="36"/>
    </row>
  </sheetData>
  <mergeCells count="31">
    <mergeCell ref="A2:D2"/>
    <mergeCell ref="E2:K2"/>
    <mergeCell ref="A3:D3"/>
    <mergeCell ref="A4:B4"/>
    <mergeCell ref="C4:E4"/>
    <mergeCell ref="G4:H9"/>
    <mergeCell ref="I4:J4"/>
    <mergeCell ref="A5:B5"/>
    <mergeCell ref="C5:D5"/>
    <mergeCell ref="I5:J5"/>
    <mergeCell ref="A6:B6"/>
    <mergeCell ref="C6:D6"/>
    <mergeCell ref="A7:B7"/>
    <mergeCell ref="C7:D7"/>
    <mergeCell ref="I7:J7"/>
    <mergeCell ref="A9:D9"/>
    <mergeCell ref="A23:K23"/>
    <mergeCell ref="A25:K25"/>
    <mergeCell ref="A31:K31"/>
    <mergeCell ref="A8:B8"/>
    <mergeCell ref="C8:D8"/>
    <mergeCell ref="I8:J8"/>
    <mergeCell ref="K11:K13"/>
    <mergeCell ref="A21:D21"/>
    <mergeCell ref="I9:J9"/>
    <mergeCell ref="A11:A13"/>
    <mergeCell ref="B11:B13"/>
    <mergeCell ref="C11:C13"/>
    <mergeCell ref="D11:D13"/>
    <mergeCell ref="E11:I11"/>
    <mergeCell ref="J11:J13"/>
  </mergeCells>
  <phoneticPr fontId="3" type="noConversion"/>
  <dataValidations count="5">
    <dataValidation type="list" allowBlank="1" showInputMessage="1" showErrorMessage="1" sqref="C17" xr:uid="{5D3BB233-7012-4D35-B444-57D1A198AA06}">
      <formula1>$Q$3:$Q$36</formula1>
    </dataValidation>
    <dataValidation type="list" showInputMessage="1" showErrorMessage="1" sqref="C15:C16 C18" xr:uid="{163AD3B5-BCCA-4151-A21E-766E5688AB4E}">
      <formula1>$Q$3:$Q$36</formula1>
    </dataValidation>
    <dataValidation type="list" allowBlank="1" showInputMessage="1" showErrorMessage="1" sqref="J6" xr:uid="{DF6F83EB-2C42-4742-8F9B-4932B06B05DF}">
      <formula1>$P$3:$P$36</formula1>
    </dataValidation>
    <dataValidation type="list" showInputMessage="1" showErrorMessage="1" sqref="C8:D8" xr:uid="{4068931A-B310-4BB9-A957-A9E74E2FDF99}">
      <formula1>$O$3:$O$36</formula1>
    </dataValidation>
    <dataValidation type="list" showInputMessage="1" showErrorMessage="1" sqref="C6:D6" xr:uid="{42CB3EB4-3EAB-48C7-B3AE-86EED01DDB71}">
      <formula1>$N$3:$N$36</formula1>
    </dataValidation>
  </dataValidations>
  <pageMargins left="0.39370078740157483" right="0.19685039370078741" top="0.39370078740157483" bottom="0.35433070866141736" header="0" footer="0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CBCD-9637-4615-B2E0-CEB596F13839}">
  <sheetPr codeName="Sheet4"/>
  <dimension ref="A1:P61"/>
  <sheetViews>
    <sheetView zoomScale="85" zoomScaleNormal="85" workbookViewId="0">
      <selection activeCell="F33" sqref="F33"/>
    </sheetView>
  </sheetViews>
  <sheetFormatPr defaultRowHeight="15" x14ac:dyDescent="0.25"/>
  <cols>
    <col min="1" max="1" width="6.5703125" customWidth="1"/>
    <col min="2" max="2" width="12.140625" customWidth="1"/>
    <col min="3" max="3" width="35.42578125" customWidth="1"/>
    <col min="5" max="5" width="4.28515625" customWidth="1"/>
    <col min="6" max="6" width="13.7109375" customWidth="1"/>
    <col min="7" max="7" width="16.42578125" customWidth="1"/>
    <col min="8" max="8" width="17.7109375" customWidth="1"/>
    <col min="9" max="9" width="27.140625" customWidth="1"/>
  </cols>
  <sheetData>
    <row r="1" spans="1:16" ht="15.75" x14ac:dyDescent="0.25">
      <c r="A1" s="63"/>
    </row>
    <row r="3" spans="1:16" ht="22.5" customHeight="1" x14ac:dyDescent="0.25">
      <c r="A3" s="205" t="s">
        <v>143</v>
      </c>
      <c r="B3" s="205"/>
      <c r="C3" s="205"/>
      <c r="D3" s="44"/>
      <c r="E3" s="206" t="s">
        <v>144</v>
      </c>
      <c r="F3" s="206"/>
      <c r="G3" s="206"/>
      <c r="H3" s="206"/>
      <c r="I3" s="206"/>
      <c r="J3" s="206"/>
      <c r="K3" s="64"/>
      <c r="L3" s="64"/>
      <c r="M3" s="64"/>
      <c r="N3" s="64"/>
      <c r="O3" s="64"/>
      <c r="P3" s="65"/>
    </row>
    <row r="4" spans="1:16" ht="18.75" customHeight="1" x14ac:dyDescent="0.25">
      <c r="A4" s="207" t="s">
        <v>27</v>
      </c>
      <c r="B4" s="207"/>
      <c r="C4" s="207"/>
      <c r="D4" s="41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65"/>
    </row>
    <row r="5" spans="1:16" ht="18.75" customHeight="1" x14ac:dyDescent="0.25">
      <c r="A5" s="164" t="s">
        <v>145</v>
      </c>
      <c r="B5" s="164"/>
      <c r="C5" s="164"/>
      <c r="D5" s="164"/>
      <c r="E5" s="164"/>
      <c r="F5" s="164"/>
      <c r="G5" s="44" t="s">
        <v>146</v>
      </c>
      <c r="H5" s="44"/>
      <c r="I5" s="162" t="s">
        <v>147</v>
      </c>
      <c r="J5" s="162"/>
      <c r="K5" s="44"/>
      <c r="L5" s="44"/>
      <c r="M5" s="44"/>
      <c r="N5" s="44"/>
      <c r="O5" s="44"/>
      <c r="P5" s="44"/>
    </row>
    <row r="6" spans="1:16" ht="18.75" customHeight="1" x14ac:dyDescent="0.25">
      <c r="A6" s="164" t="s">
        <v>148</v>
      </c>
      <c r="B6" s="164"/>
      <c r="C6" s="164"/>
      <c r="D6" s="164"/>
      <c r="E6" s="164"/>
      <c r="F6" s="164"/>
      <c r="G6" s="44" t="s">
        <v>149</v>
      </c>
      <c r="H6" s="44"/>
      <c r="I6" s="162" t="s">
        <v>150</v>
      </c>
      <c r="J6" s="162"/>
      <c r="K6" s="44"/>
      <c r="L6" s="44"/>
      <c r="M6" s="44"/>
      <c r="N6" s="44"/>
      <c r="O6" s="44"/>
      <c r="P6" s="44"/>
    </row>
    <row r="7" spans="1:16" ht="18.75" customHeight="1" x14ac:dyDescent="0.25">
      <c r="A7" s="164" t="s">
        <v>151</v>
      </c>
      <c r="B7" s="164"/>
      <c r="C7" s="164"/>
      <c r="D7" s="164"/>
      <c r="E7" s="164"/>
      <c r="F7" s="164"/>
      <c r="G7" s="44"/>
      <c r="H7" s="44"/>
      <c r="I7" s="162" t="s">
        <v>152</v>
      </c>
      <c r="J7" s="162"/>
      <c r="K7" s="44"/>
      <c r="L7" s="44"/>
      <c r="M7" s="44"/>
      <c r="N7" s="44"/>
      <c r="O7" s="44"/>
      <c r="P7" s="44"/>
    </row>
    <row r="8" spans="1:16" ht="18.75" customHeight="1" x14ac:dyDescent="0.25">
      <c r="A8" s="164" t="s">
        <v>153</v>
      </c>
      <c r="B8" s="164"/>
      <c r="C8" s="164"/>
      <c r="D8" s="164"/>
      <c r="E8" s="164"/>
      <c r="F8" s="164"/>
      <c r="G8" s="44"/>
      <c r="H8" s="44"/>
      <c r="I8" s="162" t="s">
        <v>154</v>
      </c>
      <c r="J8" s="162"/>
      <c r="K8" s="44"/>
      <c r="L8" s="44"/>
      <c r="M8" s="44"/>
      <c r="N8" s="44"/>
      <c r="O8" s="44"/>
      <c r="P8" s="44"/>
    </row>
    <row r="9" spans="1:16" ht="18.75" customHeight="1" thickBot="1" x14ac:dyDescent="0.3">
      <c r="A9" s="164" t="s">
        <v>155</v>
      </c>
      <c r="B9" s="164"/>
      <c r="C9" s="164"/>
      <c r="D9" s="164"/>
      <c r="E9" s="164"/>
      <c r="F9" s="164"/>
      <c r="G9" s="44"/>
      <c r="H9" s="44"/>
      <c r="I9" s="44"/>
      <c r="J9" s="162"/>
      <c r="K9" s="162"/>
      <c r="L9" s="162"/>
      <c r="M9" s="162"/>
      <c r="N9" s="162"/>
      <c r="O9" s="44"/>
      <c r="P9" s="44"/>
    </row>
    <row r="10" spans="1:16" s="68" customFormat="1" ht="17.25" customHeight="1" thickBot="1" x14ac:dyDescent="0.3">
      <c r="A10" s="195" t="s">
        <v>7</v>
      </c>
      <c r="B10" s="195" t="s">
        <v>8</v>
      </c>
      <c r="C10" s="195" t="s">
        <v>156</v>
      </c>
      <c r="D10" s="198" t="s">
        <v>157</v>
      </c>
      <c r="E10" s="199"/>
      <c r="F10" s="188" t="s">
        <v>11</v>
      </c>
      <c r="G10" s="190"/>
      <c r="H10" s="195" t="s">
        <v>158</v>
      </c>
      <c r="I10" s="195" t="s">
        <v>12</v>
      </c>
      <c r="J10" s="186"/>
      <c r="K10" s="187"/>
    </row>
    <row r="11" spans="1:16" s="68" customFormat="1" ht="33" customHeight="1" x14ac:dyDescent="0.25">
      <c r="A11" s="196"/>
      <c r="B11" s="196"/>
      <c r="C11" s="196"/>
      <c r="D11" s="200"/>
      <c r="E11" s="201"/>
      <c r="F11" s="69" t="s">
        <v>159</v>
      </c>
      <c r="G11" s="69" t="s">
        <v>136</v>
      </c>
      <c r="H11" s="196"/>
      <c r="I11" s="196"/>
      <c r="J11" s="204"/>
      <c r="K11" s="187"/>
    </row>
    <row r="12" spans="1:16" s="68" customFormat="1" ht="20.25" customHeight="1" thickBot="1" x14ac:dyDescent="0.3">
      <c r="A12" s="197"/>
      <c r="B12" s="197"/>
      <c r="C12" s="197"/>
      <c r="D12" s="202"/>
      <c r="E12" s="203"/>
      <c r="F12" s="70"/>
      <c r="G12" s="70"/>
      <c r="H12" s="197"/>
      <c r="I12" s="197"/>
      <c r="J12" s="186"/>
      <c r="K12" s="187"/>
    </row>
    <row r="13" spans="1:16" ht="21.75" customHeight="1" x14ac:dyDescent="0.25">
      <c r="A13" s="71">
        <v>1</v>
      </c>
      <c r="B13" s="72"/>
      <c r="C13" s="73" t="s">
        <v>160</v>
      </c>
      <c r="D13" s="193" t="s">
        <v>161</v>
      </c>
      <c r="E13" s="194"/>
      <c r="F13" s="49">
        <v>1</v>
      </c>
      <c r="G13" s="49">
        <v>1</v>
      </c>
      <c r="H13" s="74">
        <v>187380000</v>
      </c>
      <c r="I13" s="74">
        <f t="shared" ref="I13:I18" si="0">F13*H13</f>
        <v>187380000</v>
      </c>
      <c r="J13" s="181"/>
      <c r="K13" s="182"/>
    </row>
    <row r="14" spans="1:16" ht="16.5" x14ac:dyDescent="0.25">
      <c r="A14" s="76">
        <v>2</v>
      </c>
      <c r="B14" s="77"/>
      <c r="C14" s="77" t="s">
        <v>162</v>
      </c>
      <c r="D14" s="184" t="s">
        <v>163</v>
      </c>
      <c r="E14" s="185"/>
      <c r="F14" s="78">
        <v>1</v>
      </c>
      <c r="G14" s="78">
        <v>1</v>
      </c>
      <c r="H14" s="79">
        <v>3000000</v>
      </c>
      <c r="I14" s="80">
        <f t="shared" si="0"/>
        <v>3000000</v>
      </c>
      <c r="J14" s="181"/>
      <c r="K14" s="182"/>
    </row>
    <row r="15" spans="1:16" ht="16.5" x14ac:dyDescent="0.25">
      <c r="A15" s="81">
        <v>3</v>
      </c>
      <c r="B15" s="82"/>
      <c r="C15" s="82" t="s">
        <v>164</v>
      </c>
      <c r="D15" s="184" t="s">
        <v>163</v>
      </c>
      <c r="E15" s="185"/>
      <c r="F15" s="78">
        <v>1</v>
      </c>
      <c r="G15" s="78">
        <v>1</v>
      </c>
      <c r="H15" s="79">
        <v>980000</v>
      </c>
      <c r="I15" s="80">
        <f t="shared" si="0"/>
        <v>980000</v>
      </c>
      <c r="J15" s="75"/>
      <c r="K15" s="65"/>
    </row>
    <row r="16" spans="1:16" ht="16.5" x14ac:dyDescent="0.25">
      <c r="A16" s="81">
        <v>4</v>
      </c>
      <c r="B16" s="82"/>
      <c r="C16" s="82" t="s">
        <v>165</v>
      </c>
      <c r="D16" s="184" t="s">
        <v>166</v>
      </c>
      <c r="E16" s="185"/>
      <c r="F16" s="78">
        <v>1</v>
      </c>
      <c r="G16" s="78">
        <v>1</v>
      </c>
      <c r="H16" s="79">
        <v>331000</v>
      </c>
      <c r="I16" s="80">
        <f t="shared" si="0"/>
        <v>331000</v>
      </c>
      <c r="J16" s="181"/>
      <c r="K16" s="182"/>
    </row>
    <row r="17" spans="1:11" ht="16.5" x14ac:dyDescent="0.25">
      <c r="A17" s="81">
        <v>5</v>
      </c>
      <c r="B17" s="82"/>
      <c r="C17" s="82" t="s">
        <v>167</v>
      </c>
      <c r="D17" s="184" t="s">
        <v>166</v>
      </c>
      <c r="E17" s="185"/>
      <c r="F17" s="76">
        <v>1</v>
      </c>
      <c r="G17" s="78">
        <v>1</v>
      </c>
      <c r="H17" s="79">
        <v>622000</v>
      </c>
      <c r="I17" s="80">
        <f t="shared" si="0"/>
        <v>622000</v>
      </c>
      <c r="J17" s="75"/>
      <c r="K17" s="65"/>
    </row>
    <row r="18" spans="1:11" ht="20.25" customHeight="1" thickBot="1" x14ac:dyDescent="0.3">
      <c r="A18" s="81">
        <v>6</v>
      </c>
      <c r="B18" s="82"/>
      <c r="C18" s="82" t="s">
        <v>168</v>
      </c>
      <c r="D18" s="184" t="s">
        <v>166</v>
      </c>
      <c r="E18" s="185"/>
      <c r="F18" s="76">
        <v>1</v>
      </c>
      <c r="G18" s="78">
        <v>1</v>
      </c>
      <c r="H18" s="79">
        <v>2280000</v>
      </c>
      <c r="I18" s="80">
        <f t="shared" si="0"/>
        <v>2280000</v>
      </c>
      <c r="J18" s="75"/>
      <c r="K18" s="65"/>
    </row>
    <row r="19" spans="1:11" ht="17.25" thickBot="1" x14ac:dyDescent="0.3">
      <c r="A19" s="188" t="s">
        <v>20</v>
      </c>
      <c r="B19" s="189"/>
      <c r="C19" s="190"/>
      <c r="D19" s="191"/>
      <c r="E19" s="192"/>
      <c r="F19" s="83"/>
      <c r="G19" s="83"/>
      <c r="H19" s="84"/>
      <c r="I19" s="85">
        <f>SUM(I13:I18)</f>
        <v>194593000</v>
      </c>
      <c r="J19" s="86"/>
      <c r="K19" s="86"/>
    </row>
    <row r="20" spans="1:11" ht="18.75" x14ac:dyDescent="0.25">
      <c r="A20" s="38" t="s">
        <v>169</v>
      </c>
    </row>
    <row r="21" spans="1:11" s="87" customFormat="1" ht="18.75" x14ac:dyDescent="0.3">
      <c r="A21" s="38" t="s">
        <v>170</v>
      </c>
      <c r="C21" s="88"/>
    </row>
    <row r="22" spans="1:11" ht="18.75" x14ac:dyDescent="0.25">
      <c r="A22" s="38" t="s">
        <v>171</v>
      </c>
    </row>
    <row r="23" spans="1:11" ht="15.75" x14ac:dyDescent="0.25">
      <c r="A23" s="67"/>
      <c r="B23" s="66"/>
      <c r="C23" s="66"/>
      <c r="D23" s="66"/>
      <c r="E23" s="66"/>
    </row>
    <row r="24" spans="1:11" s="183" customFormat="1" ht="15.75" customHeight="1" x14ac:dyDescent="0.25">
      <c r="A24" s="183" t="s">
        <v>172</v>
      </c>
    </row>
    <row r="25" spans="1:11" ht="15.75" x14ac:dyDescent="0.25">
      <c r="A25" s="90"/>
      <c r="B25" s="90"/>
      <c r="C25" s="90"/>
      <c r="D25" s="91"/>
      <c r="E25" s="90"/>
    </row>
    <row r="26" spans="1:11" ht="15.75" x14ac:dyDescent="0.25">
      <c r="A26" s="92"/>
    </row>
    <row r="27" spans="1:11" ht="15.75" x14ac:dyDescent="0.25">
      <c r="A27" s="92"/>
    </row>
    <row r="28" spans="1:11" ht="15.75" x14ac:dyDescent="0.25">
      <c r="A28" s="92"/>
    </row>
    <row r="30" spans="1:11" s="183" customFormat="1" ht="15.75" customHeight="1" x14ac:dyDescent="0.25">
      <c r="A30" s="183" t="s">
        <v>173</v>
      </c>
    </row>
    <row r="31" spans="1:11" s="89" customFormat="1" ht="15.75" customHeight="1" x14ac:dyDescent="0.25"/>
    <row r="32" spans="1:11" s="89" customFormat="1" ht="15.75" customHeight="1" x14ac:dyDescent="0.25"/>
    <row r="33" spans="1:16" s="89" customFormat="1" ht="15.75" customHeight="1" x14ac:dyDescent="0.25"/>
    <row r="34" spans="1:16" ht="15.75" x14ac:dyDescent="0.25">
      <c r="A34" s="63"/>
    </row>
    <row r="36" spans="1:16" ht="22.5" customHeight="1" x14ac:dyDescent="0.25">
      <c r="A36" s="205" t="s">
        <v>143</v>
      </c>
      <c r="B36" s="205"/>
      <c r="C36" s="205"/>
      <c r="D36" s="44"/>
      <c r="E36" s="206" t="s">
        <v>144</v>
      </c>
      <c r="F36" s="206"/>
      <c r="G36" s="206"/>
      <c r="H36" s="206"/>
      <c r="I36" s="206"/>
      <c r="J36" s="206"/>
      <c r="K36" s="64"/>
      <c r="L36" s="64"/>
      <c r="M36" s="64"/>
      <c r="N36" s="64"/>
      <c r="O36" s="64"/>
      <c r="P36" s="65"/>
    </row>
    <row r="37" spans="1:16" ht="18.75" customHeight="1" x14ac:dyDescent="0.25">
      <c r="A37" s="207" t="s">
        <v>174</v>
      </c>
      <c r="B37" s="207"/>
      <c r="C37" s="207"/>
      <c r="D37" s="41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65"/>
    </row>
    <row r="38" spans="1:16" ht="18.75" customHeight="1" x14ac:dyDescent="0.25">
      <c r="A38" s="164" t="s">
        <v>175</v>
      </c>
      <c r="B38" s="164"/>
      <c r="C38" s="164"/>
      <c r="D38" s="164"/>
      <c r="E38" s="164"/>
      <c r="F38" s="164"/>
      <c r="G38" s="44" t="s">
        <v>146</v>
      </c>
      <c r="H38" s="44"/>
      <c r="I38" s="162" t="s">
        <v>147</v>
      </c>
      <c r="J38" s="162"/>
      <c r="K38" s="44"/>
      <c r="L38" s="44"/>
      <c r="M38" s="44"/>
      <c r="N38" s="44"/>
      <c r="O38" s="44"/>
      <c r="P38" s="44"/>
    </row>
    <row r="39" spans="1:16" ht="18.75" customHeight="1" x14ac:dyDescent="0.25">
      <c r="A39" s="164" t="s">
        <v>148</v>
      </c>
      <c r="B39" s="164"/>
      <c r="C39" s="164"/>
      <c r="D39" s="164"/>
      <c r="E39" s="164"/>
      <c r="F39" s="164"/>
      <c r="G39" s="44" t="s">
        <v>149</v>
      </c>
      <c r="H39" s="44"/>
      <c r="I39" s="162" t="s">
        <v>150</v>
      </c>
      <c r="J39" s="162"/>
      <c r="K39" s="44"/>
      <c r="L39" s="44"/>
      <c r="M39" s="44"/>
      <c r="N39" s="44"/>
      <c r="O39" s="44"/>
      <c r="P39" s="44"/>
    </row>
    <row r="40" spans="1:16" ht="18.75" customHeight="1" x14ac:dyDescent="0.25">
      <c r="A40" s="164" t="s">
        <v>151</v>
      </c>
      <c r="B40" s="164"/>
      <c r="C40" s="164"/>
      <c r="D40" s="164"/>
      <c r="E40" s="164"/>
      <c r="F40" s="164"/>
      <c r="G40" s="44"/>
      <c r="H40" s="44"/>
      <c r="I40" s="162" t="s">
        <v>152</v>
      </c>
      <c r="J40" s="162"/>
      <c r="K40" s="44"/>
      <c r="L40" s="44"/>
      <c r="M40" s="44"/>
      <c r="N40" s="44"/>
      <c r="O40" s="44"/>
      <c r="P40" s="44"/>
    </row>
    <row r="41" spans="1:16" ht="18.75" customHeight="1" x14ac:dyDescent="0.25">
      <c r="A41" s="164" t="s">
        <v>176</v>
      </c>
      <c r="B41" s="164"/>
      <c r="C41" s="164"/>
      <c r="D41" s="164"/>
      <c r="E41" s="164"/>
      <c r="F41" s="164"/>
      <c r="G41" s="44"/>
      <c r="H41" s="44"/>
      <c r="I41" s="162" t="s">
        <v>154</v>
      </c>
      <c r="J41" s="162"/>
      <c r="K41" s="44"/>
      <c r="L41" s="44"/>
      <c r="M41" s="44"/>
      <c r="N41" s="44"/>
      <c r="O41" s="44"/>
      <c r="P41" s="44"/>
    </row>
    <row r="42" spans="1:16" ht="18.75" customHeight="1" thickBot="1" x14ac:dyDescent="0.3">
      <c r="A42" s="164" t="s">
        <v>177</v>
      </c>
      <c r="B42" s="164"/>
      <c r="C42" s="164"/>
      <c r="D42" s="164"/>
      <c r="E42" s="164"/>
      <c r="F42" s="164"/>
      <c r="G42" s="44"/>
      <c r="H42" s="44"/>
      <c r="I42" s="44"/>
      <c r="J42" s="162"/>
      <c r="K42" s="162"/>
      <c r="L42" s="162"/>
      <c r="M42" s="162"/>
      <c r="N42" s="162"/>
      <c r="O42" s="44"/>
      <c r="P42" s="44"/>
    </row>
    <row r="43" spans="1:16" s="68" customFormat="1" ht="17.25" customHeight="1" thickBot="1" x14ac:dyDescent="0.3">
      <c r="A43" s="195" t="s">
        <v>7</v>
      </c>
      <c r="B43" s="195" t="s">
        <v>8</v>
      </c>
      <c r="C43" s="195" t="s">
        <v>156</v>
      </c>
      <c r="D43" s="198" t="s">
        <v>157</v>
      </c>
      <c r="E43" s="199"/>
      <c r="F43" s="188" t="s">
        <v>11</v>
      </c>
      <c r="G43" s="190"/>
      <c r="H43" s="195" t="s">
        <v>158</v>
      </c>
      <c r="I43" s="195" t="s">
        <v>12</v>
      </c>
      <c r="J43" s="186"/>
      <c r="K43" s="187"/>
    </row>
    <row r="44" spans="1:16" s="68" customFormat="1" ht="33" customHeight="1" x14ac:dyDescent="0.25">
      <c r="A44" s="196"/>
      <c r="B44" s="196"/>
      <c r="C44" s="196"/>
      <c r="D44" s="200"/>
      <c r="E44" s="201"/>
      <c r="F44" s="69" t="s">
        <v>159</v>
      </c>
      <c r="G44" s="69" t="s">
        <v>136</v>
      </c>
      <c r="H44" s="196"/>
      <c r="I44" s="196"/>
      <c r="J44" s="204"/>
      <c r="K44" s="187"/>
    </row>
    <row r="45" spans="1:16" s="68" customFormat="1" ht="20.25" customHeight="1" thickBot="1" x14ac:dyDescent="0.3">
      <c r="A45" s="197"/>
      <c r="B45" s="197"/>
      <c r="C45" s="197"/>
      <c r="D45" s="202"/>
      <c r="E45" s="203"/>
      <c r="F45" s="70"/>
      <c r="G45" s="70"/>
      <c r="H45" s="197"/>
      <c r="I45" s="197"/>
      <c r="J45" s="186"/>
      <c r="K45" s="187"/>
    </row>
    <row r="46" spans="1:16" ht="21.75" customHeight="1" x14ac:dyDescent="0.25">
      <c r="A46" s="71">
        <v>1</v>
      </c>
      <c r="B46" s="72"/>
      <c r="C46" s="73" t="s">
        <v>178</v>
      </c>
      <c r="D46" s="193" t="s">
        <v>163</v>
      </c>
      <c r="E46" s="194"/>
      <c r="F46" s="49">
        <v>5</v>
      </c>
      <c r="G46" s="49"/>
      <c r="H46" s="74">
        <v>500000</v>
      </c>
      <c r="I46" s="74">
        <f>F46*H46</f>
        <v>2500000</v>
      </c>
      <c r="J46" s="181"/>
      <c r="K46" s="182"/>
    </row>
    <row r="47" spans="1:16" ht="16.5" x14ac:dyDescent="0.25">
      <c r="A47" s="76"/>
      <c r="B47" s="77"/>
      <c r="C47" s="77"/>
      <c r="D47" s="184"/>
      <c r="E47" s="185"/>
      <c r="F47" s="78"/>
      <c r="G47" s="78"/>
      <c r="H47" s="79"/>
      <c r="I47" s="80"/>
      <c r="J47" s="181"/>
      <c r="K47" s="182"/>
    </row>
    <row r="48" spans="1:16" ht="16.5" x14ac:dyDescent="0.25">
      <c r="A48" s="81"/>
      <c r="B48" s="82"/>
      <c r="C48" s="82"/>
      <c r="D48" s="184"/>
      <c r="E48" s="185"/>
      <c r="F48" s="76"/>
      <c r="G48" s="78"/>
      <c r="H48" s="79"/>
      <c r="I48" s="80"/>
      <c r="J48" s="75"/>
      <c r="K48" s="65"/>
    </row>
    <row r="49" spans="1:11" s="68" customFormat="1" ht="17.25" customHeight="1" thickBot="1" x14ac:dyDescent="0.3">
      <c r="A49" s="93"/>
      <c r="B49" s="94"/>
      <c r="C49" s="95"/>
      <c r="D49" s="184"/>
      <c r="E49" s="185"/>
      <c r="F49" s="96"/>
      <c r="G49" s="97"/>
      <c r="H49" s="98"/>
      <c r="I49" s="80"/>
      <c r="J49" s="186"/>
      <c r="K49" s="187"/>
    </row>
    <row r="50" spans="1:11" ht="17.25" thickBot="1" x14ac:dyDescent="0.3">
      <c r="A50" s="188" t="s">
        <v>20</v>
      </c>
      <c r="B50" s="189"/>
      <c r="C50" s="190"/>
      <c r="D50" s="191"/>
      <c r="E50" s="192"/>
      <c r="F50" s="83"/>
      <c r="G50" s="83"/>
      <c r="H50" s="84"/>
      <c r="I50" s="85">
        <f>SUM(I46:I49)</f>
        <v>2500000</v>
      </c>
      <c r="J50" s="86"/>
      <c r="K50" s="86"/>
    </row>
    <row r="51" spans="1:11" ht="18.75" x14ac:dyDescent="0.25">
      <c r="A51" s="38" t="s">
        <v>179</v>
      </c>
    </row>
    <row r="52" spans="1:11" s="87" customFormat="1" ht="18.75" x14ac:dyDescent="0.3">
      <c r="A52" s="38" t="s">
        <v>180</v>
      </c>
      <c r="C52" s="88"/>
    </row>
    <row r="53" spans="1:11" ht="18.75" x14ac:dyDescent="0.25">
      <c r="A53" s="38" t="s">
        <v>171</v>
      </c>
    </row>
    <row r="54" spans="1:11" ht="15.75" x14ac:dyDescent="0.25">
      <c r="A54" s="67"/>
      <c r="B54" s="66"/>
      <c r="C54" s="66"/>
      <c r="D54" s="66"/>
      <c r="E54" s="66"/>
    </row>
    <row r="55" spans="1:11" s="183" customFormat="1" ht="15.75" customHeight="1" x14ac:dyDescent="0.25">
      <c r="A55" s="183" t="s">
        <v>181</v>
      </c>
    </row>
    <row r="56" spans="1:11" ht="15.75" x14ac:dyDescent="0.25">
      <c r="A56" s="90"/>
      <c r="B56" s="90"/>
      <c r="C56" s="90"/>
      <c r="D56" s="91"/>
      <c r="E56" s="90"/>
    </row>
    <row r="57" spans="1:11" ht="15.75" x14ac:dyDescent="0.25">
      <c r="A57" s="92"/>
    </row>
    <row r="58" spans="1:11" ht="15.75" x14ac:dyDescent="0.25">
      <c r="A58" s="92"/>
    </row>
    <row r="59" spans="1:11" ht="15.75" x14ac:dyDescent="0.25">
      <c r="A59" s="92"/>
    </row>
    <row r="61" spans="1:11" s="183" customFormat="1" ht="15.75" customHeight="1" x14ac:dyDescent="0.25">
      <c r="A61" s="183" t="s">
        <v>182</v>
      </c>
    </row>
  </sheetData>
  <mergeCells count="70">
    <mergeCell ref="A3:C3"/>
    <mergeCell ref="E3:J3"/>
    <mergeCell ref="A4:C4"/>
    <mergeCell ref="E4:O4"/>
    <mergeCell ref="A5:F5"/>
    <mergeCell ref="I5:J5"/>
    <mergeCell ref="A6:F6"/>
    <mergeCell ref="I6:J6"/>
    <mergeCell ref="A7:F7"/>
    <mergeCell ref="I7:J7"/>
    <mergeCell ref="A8:F8"/>
    <mergeCell ref="I8:J8"/>
    <mergeCell ref="D15:E15"/>
    <mergeCell ref="A9:F9"/>
    <mergeCell ref="J9:N9"/>
    <mergeCell ref="A10:A12"/>
    <mergeCell ref="B10:B12"/>
    <mergeCell ref="C10:C12"/>
    <mergeCell ref="D10:E12"/>
    <mergeCell ref="F10:G10"/>
    <mergeCell ref="H10:H12"/>
    <mergeCell ref="I10:I12"/>
    <mergeCell ref="J10:K10"/>
    <mergeCell ref="J11:K12"/>
    <mergeCell ref="D13:E13"/>
    <mergeCell ref="J13:K13"/>
    <mergeCell ref="D14:E14"/>
    <mergeCell ref="J14:K14"/>
    <mergeCell ref="D16:E16"/>
    <mergeCell ref="J16:K16"/>
    <mergeCell ref="D17:E17"/>
    <mergeCell ref="D18:E18"/>
    <mergeCell ref="A19:C19"/>
    <mergeCell ref="D19:E19"/>
    <mergeCell ref="A24:XFD24"/>
    <mergeCell ref="A30:XFD30"/>
    <mergeCell ref="A36:C36"/>
    <mergeCell ref="E36:J36"/>
    <mergeCell ref="A37:C37"/>
    <mergeCell ref="E37:O37"/>
    <mergeCell ref="A38:F38"/>
    <mergeCell ref="I38:J38"/>
    <mergeCell ref="A39:F39"/>
    <mergeCell ref="I39:J39"/>
    <mergeCell ref="A40:F40"/>
    <mergeCell ref="I40:J40"/>
    <mergeCell ref="A41:F41"/>
    <mergeCell ref="I41:J41"/>
    <mergeCell ref="A42:F42"/>
    <mergeCell ref="J42:N42"/>
    <mergeCell ref="A43:A45"/>
    <mergeCell ref="B43:B45"/>
    <mergeCell ref="C43:C45"/>
    <mergeCell ref="D43:E45"/>
    <mergeCell ref="F43:G43"/>
    <mergeCell ref="H43:H45"/>
    <mergeCell ref="I43:I45"/>
    <mergeCell ref="J43:K43"/>
    <mergeCell ref="J44:K45"/>
    <mergeCell ref="J46:K46"/>
    <mergeCell ref="A61:XFD61"/>
    <mergeCell ref="D48:E48"/>
    <mergeCell ref="D49:E49"/>
    <mergeCell ref="J49:K49"/>
    <mergeCell ref="A50:C50"/>
    <mergeCell ref="D50:E50"/>
    <mergeCell ref="A55:XFD55"/>
    <mergeCell ref="D47:E47"/>
    <mergeCell ref="J47:K47"/>
    <mergeCell ref="D46:E46"/>
  </mergeCells>
  <pageMargins left="0.19685039370078741" right="0.19685039370078741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Nhập Xăng Dầu</vt:lpstr>
      <vt:lpstr>Xuất Xăng Dầu</vt:lpstr>
      <vt:lpstr>Xuất thủ công</vt:lpstr>
      <vt:lpstr>Nhập PTKT VTXD</vt:lpstr>
      <vt:lpstr>'Nhập Xăng Dầu'!Print_Area</vt:lpstr>
      <vt:lpstr>'Xuất thủ công'!Print_Area</vt:lpstr>
      <vt:lpstr>'Xuất Xăng Dầu'!Print_Area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Trọng Hải</dc:creator>
  <cp:lastModifiedBy>Administrator</cp:lastModifiedBy>
  <cp:lastPrinted>2026-07-17T04:16:06Z</cp:lastPrinted>
  <dcterms:created xsi:type="dcterms:W3CDTF">2020-06-21T04:38:12Z</dcterms:created>
  <dcterms:modified xsi:type="dcterms:W3CDTF">2026-08-22T08:43:19Z</dcterms:modified>
</cp:coreProperties>
</file>